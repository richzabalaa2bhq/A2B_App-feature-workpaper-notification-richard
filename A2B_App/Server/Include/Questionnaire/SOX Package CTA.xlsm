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8.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9.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0.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2.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13.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1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drawings/drawing15.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drawings/drawing16.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17.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drawings/drawing18.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drawings/drawing20.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21.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Google Drive\Work\source\repos\A2BHQ Web App\A2B API\Include\Questionnaire\"/>
    </mc:Choice>
  </mc:AlternateContent>
  <bookViews>
    <workbookView xWindow="2100" yWindow="1335" windowWidth="17310" windowHeight="9810" tabRatio="910"/>
  </bookViews>
  <sheets>
    <sheet name="Menu" sheetId="22" r:id="rId1"/>
    <sheet name="Narrative" sheetId="1" r:id="rId2"/>
    <sheet name="RCM" sheetId="2" r:id="rId3"/>
    <sheet name="FCP (FC)" sheetId="21" r:id="rId4"/>
    <sheet name="WT (WT)" sheetId="3" r:id="rId5"/>
    <sheet name="Dropdown" sheetId="4" state="veryHidden" r:id="rId6"/>
    <sheet name="FCR 1.02 (WP)" sheetId="5" r:id="rId7"/>
    <sheet name="FCR 2.05 (WP)" sheetId="6" r:id="rId8"/>
    <sheet name="FCR 2.09 (WP)" sheetId="7" r:id="rId9"/>
    <sheet name="FCR 3.04 (WP)" sheetId="8" r:id="rId10"/>
    <sheet name="FCR 3.09 (WP)" sheetId="9" r:id="rId11"/>
    <sheet name="FCR 3.12 (WP)" sheetId="10" r:id="rId12"/>
    <sheet name="FCR 4.02 (WP)" sheetId="11" r:id="rId13"/>
    <sheet name="FCR 4.04 (WP)" sheetId="12" r:id="rId14"/>
    <sheet name="FCR 5.05 (WP)" sheetId="13" r:id="rId15"/>
    <sheet name="FCR 5.10 (WP)" sheetId="14" r:id="rId16"/>
    <sheet name="FCR 5.11 (WP)" sheetId="15" r:id="rId17"/>
    <sheet name="FCR 6.04 (WP)" sheetId="17" r:id="rId18"/>
    <sheet name="FCR 6.07 (WP)" sheetId="16" r:id="rId19"/>
    <sheet name="FCR 6.09 (WP)" sheetId="18" r:id="rId20"/>
    <sheet name="FCR 6.11 (WP)" sheetId="19" r:id="rId21"/>
    <sheet name="IUC (WP)(WT)" sheetId="20" r:id="rId22"/>
  </sheets>
  <definedNames>
    <definedName name="_xlnm._FilterDatabase" localSheetId="1" hidden="1">Narrative!$A$59:$J$140</definedName>
    <definedName name="_xlnm._FilterDatabase" localSheetId="2" hidden="1">RCM!$A$9:$AG$29</definedName>
    <definedName name="_xlnm._FilterDatabase" localSheetId="4" hidden="1">'WT (WT)'!$A$8:$K$24</definedName>
    <definedName name="AS2DocOpenMode" hidden="1">"AS2DocumentEdit"</definedName>
    <definedName name="csDesignMode">1</definedName>
    <definedName name="dsFC" localSheetId="5">#REF!</definedName>
    <definedName name="f" localSheetId="5">#REF!</definedName>
    <definedName name="hhhh" localSheetId="5">#REF!</definedName>
    <definedName name="leadsheets" localSheetId="5">#REF!</definedName>
    <definedName name="location" localSheetId="5">#REF!</definedName>
    <definedName name="matrix" localSheetId="5">#REF!</definedName>
    <definedName name="memo" localSheetId="5">#REF!</definedName>
    <definedName name="_xlnm.Print_Area" localSheetId="3">'FCP (FC)'!$A$3:$P$18</definedName>
    <definedName name="_xlnm.Print_Area" localSheetId="6">'FCR 1.02 (WP)'!$A$3:$I$90</definedName>
    <definedName name="_xlnm.Print_Area" localSheetId="7">'FCR 2.05 (WP)'!$A$3:$H$264</definedName>
    <definedName name="_xlnm.Print_Area" localSheetId="8">'FCR 2.09 (WP)'!$A$3:$J$86</definedName>
    <definedName name="_xlnm.Print_Area" localSheetId="9">'FCR 3.04 (WP)'!$A$3:$I$77</definedName>
    <definedName name="_xlnm.Print_Area" localSheetId="10">'FCR 3.09 (WP)'!$A$3:$J$148</definedName>
    <definedName name="_xlnm.Print_Area" localSheetId="11">'FCR 3.12 (WP)'!$A$3:$H$76</definedName>
    <definedName name="_xlnm.Print_Area" localSheetId="12">'FCR 4.02 (WP)'!$A$3:$L$218</definedName>
    <definedName name="_xlnm.Print_Area" localSheetId="13">'FCR 4.04 (WP)'!$A$3:$H$76</definedName>
    <definedName name="_xlnm.Print_Area" localSheetId="14">'FCR 5.05 (WP)'!$A$3:$I$77</definedName>
    <definedName name="_xlnm.Print_Area" localSheetId="15">'FCR 5.10 (WP)'!$A$3:$H$77</definedName>
    <definedName name="_xlnm.Print_Area" localSheetId="16">'FCR 5.11 (WP)'!$A$3:$I$78</definedName>
    <definedName name="_xlnm.Print_Area" localSheetId="17">'FCR 6.04 (WP)'!$A$3:$I$81</definedName>
    <definedName name="_xlnm.Print_Area" localSheetId="18">'FCR 6.07 (WP)'!$A$3:$I$73</definedName>
    <definedName name="_xlnm.Print_Area" localSheetId="19">'FCR 6.09 (WP)'!$A$3:$H$75</definedName>
    <definedName name="_xlnm.Print_Area" localSheetId="20">'FCR 6.11 (WP)'!$A$3:$H$75</definedName>
    <definedName name="_xlnm.Print_Area" localSheetId="1">Narrative!$A$3:$J$140</definedName>
    <definedName name="_xlnm.Print_Area" localSheetId="2">RCM!$A$4:$AG$29</definedName>
    <definedName name="_xlnm.Print_Titles" localSheetId="1">Narrative!$3:$7</definedName>
    <definedName name="_xlnm.Print_Titles" localSheetId="2">RCM!$J:$K,RCM!$3:$9</definedName>
    <definedName name="PTP" localSheetId="5">#REF!</definedName>
    <definedName name="sdwe" localSheetId="5">#REF!</definedName>
    <definedName name="SeeSugg">"See suggested test of control at "</definedName>
    <definedName name="sencount" hidden="1">1</definedName>
    <definedName name="Status" localSheetId="5">#REF!</definedName>
    <definedName name="t" localSheetId="5">#REF!</definedName>
    <definedName name="Z_037BCB08_D154_4044_9A72_64E313C644D1_.wvu.Rows" localSheetId="6" hidden="1">'FCR 1.02 (WP)'!$72:$72</definedName>
    <definedName name="Z_037BCB08_D154_4044_9A72_64E313C644D1_.wvu.Rows" localSheetId="7" hidden="1">'FCR 2.05 (WP)'!$177:$177</definedName>
    <definedName name="Z_037BCB08_D154_4044_9A72_64E313C644D1_.wvu.Rows" localSheetId="8" hidden="1">'FCR 2.09 (WP)'!$60:$66</definedName>
    <definedName name="Z_037BCB08_D154_4044_9A72_64E313C644D1_.wvu.Rows" localSheetId="9" hidden="1">'FCR 3.04 (WP)'!$53:$57</definedName>
    <definedName name="Z_037BCB08_D154_4044_9A72_64E313C644D1_.wvu.Rows" localSheetId="10" hidden="1">'FCR 3.09 (WP)'!$76:$112</definedName>
    <definedName name="Z_037BCB08_D154_4044_9A72_64E313C644D1_.wvu.Rows" localSheetId="11" hidden="1">'FCR 3.12 (WP)'!$55:$58</definedName>
    <definedName name="Z_037BCB08_D154_4044_9A72_64E313C644D1_.wvu.Rows" localSheetId="12" hidden="1">'FCR 4.02 (WP)'!$84:$166</definedName>
    <definedName name="Z_037BCB08_D154_4044_9A72_64E313C644D1_.wvu.Rows" localSheetId="13" hidden="1">'FCR 4.04 (WP)'!$52:$56</definedName>
    <definedName name="Z_037BCB08_D154_4044_9A72_64E313C644D1_.wvu.Rows" localSheetId="14" hidden="1">'FCR 5.05 (WP)'!$53:$57</definedName>
    <definedName name="Z_037BCB08_D154_4044_9A72_64E313C644D1_.wvu.Rows" localSheetId="15" hidden="1">'FCR 5.10 (WP)'!$54:$58</definedName>
    <definedName name="Z_037BCB08_D154_4044_9A72_64E313C644D1_.wvu.Rows" localSheetId="16" hidden="1">'FCR 5.11 (WP)'!$55:$59</definedName>
    <definedName name="Z_037BCB08_D154_4044_9A72_64E313C644D1_.wvu.Rows" localSheetId="17" hidden="1">'FCR 6.04 (WP)'!$61:$61</definedName>
    <definedName name="Z_037BCB08_D154_4044_9A72_64E313C644D1_.wvu.Rows" localSheetId="18" hidden="1">'FCR 6.07 (WP)'!$55:$55</definedName>
    <definedName name="Z_037BCB08_D154_4044_9A72_64E313C644D1_.wvu.Rows" localSheetId="19" hidden="1">'FCR 6.09 (WP)'!$56:$57</definedName>
    <definedName name="Z_037BCB08_D154_4044_9A72_64E313C644D1_.wvu.Rows" localSheetId="20" hidden="1">'FCR 6.11 (WP)'!$58:$58</definedName>
    <definedName name="Z_DA50F7CF_0142_4CD7_8618_FA35E98FA426_.wvu.FilterData" localSheetId="2" hidden="1">RCM!$A$9:$S$9</definedName>
    <definedName name="Z_DA50F7CF_0142_4CD7_8618_FA35E98FA426_.wvu.PrintArea" localSheetId="2" hidden="1">RCM!$A$4:$S$25</definedName>
    <definedName name="Z_DA50F7CF_0142_4CD7_8618_FA35E98FA426_.wvu.PrintTitles" localSheetId="2" hidden="1">RCM!$9:$9</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 i="3" l="1"/>
  <c r="C97" i="20" l="1"/>
  <c r="B97" i="20"/>
  <c r="A97" i="20"/>
  <c r="C93" i="20" l="1"/>
  <c r="B93" i="20"/>
  <c r="A93" i="20"/>
  <c r="C89" i="20"/>
  <c r="B89" i="20"/>
  <c r="A89" i="20"/>
  <c r="C85" i="20" l="1"/>
  <c r="B85" i="20"/>
  <c r="A85" i="20"/>
  <c r="C81" i="20"/>
  <c r="B81" i="20"/>
  <c r="A81" i="20"/>
  <c r="C77" i="20"/>
  <c r="B77" i="20"/>
  <c r="A77" i="20"/>
  <c r="C73" i="20"/>
  <c r="B73" i="20"/>
  <c r="A73" i="20"/>
  <c r="C69" i="20"/>
  <c r="B69" i="20"/>
  <c r="A69" i="20"/>
  <c r="C65" i="20"/>
  <c r="B65" i="20"/>
  <c r="A65" i="20"/>
  <c r="C57" i="20"/>
  <c r="B57" i="20"/>
  <c r="A57" i="20"/>
  <c r="C53" i="20"/>
  <c r="B53" i="20"/>
  <c r="A53" i="20"/>
  <c r="C49" i="20"/>
  <c r="B49" i="20"/>
  <c r="A49" i="20"/>
  <c r="C45" i="20"/>
  <c r="B45" i="20"/>
  <c r="A45" i="20"/>
  <c r="C61" i="20"/>
  <c r="B61" i="20"/>
  <c r="A61" i="20"/>
  <c r="C41" i="20" l="1"/>
  <c r="B41" i="20"/>
  <c r="A41" i="20"/>
  <c r="C37" i="20"/>
  <c r="B37" i="20"/>
  <c r="A37" i="20"/>
  <c r="C33" i="20" l="1"/>
  <c r="B33" i="20"/>
  <c r="A33" i="20"/>
  <c r="C29" i="20" l="1"/>
  <c r="B29" i="20"/>
  <c r="A29" i="20"/>
  <c r="C25" i="20"/>
  <c r="B25" i="20"/>
  <c r="A25" i="20"/>
  <c r="A21" i="20"/>
  <c r="B21" i="20"/>
  <c r="C21" i="20"/>
  <c r="A6" i="3" l="1"/>
  <c r="A5" i="3"/>
  <c r="A3" i="3"/>
  <c r="B17" i="20" l="1"/>
  <c r="A17" i="20"/>
  <c r="B13" i="20"/>
  <c r="A13" i="20"/>
  <c r="B9" i="20"/>
  <c r="A9" i="20"/>
  <c r="B5" i="20"/>
  <c r="A5" i="20"/>
  <c r="C25" i="19"/>
  <c r="C8" i="19"/>
  <c r="A6" i="19"/>
  <c r="A5" i="19"/>
  <c r="A3" i="19"/>
  <c r="C25" i="18"/>
  <c r="C8" i="18"/>
  <c r="A6" i="18"/>
  <c r="A5" i="18"/>
  <c r="A3" i="18"/>
  <c r="C26" i="17"/>
  <c r="C8" i="17"/>
  <c r="A6" i="17"/>
  <c r="A5" i="17"/>
  <c r="A3" i="17"/>
  <c r="C23" i="16"/>
  <c r="C8" i="16"/>
  <c r="A6" i="16"/>
  <c r="A5" i="16"/>
  <c r="A3" i="16"/>
  <c r="D26" i="15"/>
  <c r="D8" i="15"/>
  <c r="A6" i="15"/>
  <c r="A5" i="15"/>
  <c r="A3" i="15"/>
  <c r="C25" i="14"/>
  <c r="C8" i="14"/>
  <c r="A6" i="14"/>
  <c r="A5" i="14"/>
  <c r="A3" i="14"/>
  <c r="D24" i="13"/>
  <c r="D8" i="13"/>
  <c r="A6" i="13"/>
  <c r="A5" i="13"/>
  <c r="A3" i="13"/>
  <c r="C23" i="12"/>
  <c r="C8" i="12"/>
  <c r="A6" i="12"/>
  <c r="A5" i="12"/>
  <c r="A3" i="12"/>
  <c r="F36" i="11"/>
  <c r="C36" i="11"/>
  <c r="C26" i="11"/>
  <c r="C8" i="11"/>
  <c r="A6" i="11"/>
  <c r="A5" i="11"/>
  <c r="A3" i="11"/>
  <c r="C24" i="10"/>
  <c r="C8" i="10"/>
  <c r="A6" i="10"/>
  <c r="A5" i="10"/>
  <c r="A3" i="10"/>
  <c r="D25" i="9"/>
  <c r="D8" i="9"/>
  <c r="A6" i="9"/>
  <c r="A5" i="9"/>
  <c r="A3" i="9"/>
  <c r="C24" i="8"/>
  <c r="C8" i="8"/>
  <c r="A6" i="8"/>
  <c r="A5" i="8"/>
  <c r="A3" i="8"/>
  <c r="D26" i="7"/>
  <c r="D8" i="7"/>
  <c r="A6" i="7"/>
  <c r="A5" i="7"/>
  <c r="A3" i="7"/>
  <c r="C26" i="6"/>
  <c r="C8" i="6"/>
  <c r="A6" i="6"/>
  <c r="A5" i="6"/>
  <c r="A3" i="6"/>
  <c r="C22" i="5"/>
  <c r="C8" i="5"/>
  <c r="A6" i="5"/>
  <c r="A5" i="5"/>
  <c r="A3" i="5"/>
  <c r="AC29" i="2"/>
  <c r="Z29" i="2"/>
  <c r="Y29" i="2"/>
  <c r="X29" i="2"/>
  <c r="J29" i="2"/>
  <c r="AC28" i="2"/>
  <c r="Z28" i="2"/>
  <c r="Y28" i="2"/>
  <c r="X28" i="2"/>
  <c r="J28" i="2"/>
  <c r="C10" i="18" s="1"/>
  <c r="AC27" i="2"/>
  <c r="Z27" i="2"/>
  <c r="Y27" i="2"/>
  <c r="X27" i="2"/>
  <c r="J27" i="2"/>
  <c r="AC26" i="2"/>
  <c r="Z26" i="2"/>
  <c r="Y26" i="2"/>
  <c r="X26" i="2"/>
  <c r="J26" i="2"/>
  <c r="J25" i="2"/>
  <c r="J24" i="2"/>
  <c r="AC23" i="2"/>
  <c r="Z23" i="2"/>
  <c r="Y23" i="2"/>
  <c r="X23" i="2"/>
  <c r="J23" i="2"/>
  <c r="AC22" i="2"/>
  <c r="Z22" i="2"/>
  <c r="Y22" i="2"/>
  <c r="X22" i="2"/>
  <c r="J22" i="2"/>
  <c r="J21" i="2"/>
  <c r="AC20" i="2"/>
  <c r="Z20" i="2"/>
  <c r="Y20" i="2"/>
  <c r="X20" i="2"/>
  <c r="J20" i="2"/>
  <c r="J19" i="2"/>
  <c r="AC18" i="2"/>
  <c r="Z18" i="2"/>
  <c r="Y18" i="2"/>
  <c r="X18" i="2"/>
  <c r="J18" i="2"/>
  <c r="B18" i="2"/>
  <c r="AG17" i="2"/>
  <c r="I36" i="11" s="1"/>
  <c r="AD17" i="2"/>
  <c r="AC17" i="2"/>
  <c r="Z17" i="2"/>
  <c r="Y17" i="2"/>
  <c r="X17" i="2"/>
  <c r="J17" i="2"/>
  <c r="B17" i="2"/>
  <c r="AC16" i="2"/>
  <c r="Z16" i="2"/>
  <c r="Y16" i="2"/>
  <c r="X16" i="2"/>
  <c r="J16" i="2"/>
  <c r="B16" i="2"/>
  <c r="AC15" i="2"/>
  <c r="Z15" i="2"/>
  <c r="Y15" i="2"/>
  <c r="X15" i="2"/>
  <c r="J15" i="2"/>
  <c r="B15" i="2"/>
  <c r="AC14" i="2"/>
  <c r="Z14" i="2"/>
  <c r="Y14" i="2"/>
  <c r="J14" i="2"/>
  <c r="B14" i="2"/>
  <c r="AC13" i="2"/>
  <c r="Z13" i="2"/>
  <c r="Y13" i="2"/>
  <c r="X13" i="2"/>
  <c r="J13" i="2"/>
  <c r="J12" i="2"/>
  <c r="AC11" i="2"/>
  <c r="Z11" i="2"/>
  <c r="Y11" i="2"/>
  <c r="X11" i="2"/>
  <c r="J11" i="2"/>
  <c r="AB10" i="2"/>
  <c r="AC10" i="2" s="1"/>
  <c r="Z10" i="2"/>
  <c r="Y10" i="2"/>
  <c r="X10" i="2"/>
  <c r="J10" i="2"/>
  <c r="A6" i="2"/>
  <c r="A5" i="2"/>
  <c r="AB4" i="2"/>
  <c r="A3" i="2"/>
  <c r="C138" i="1"/>
  <c r="A138" i="1"/>
  <c r="C116" i="1"/>
  <c r="A116" i="1"/>
  <c r="C99" i="1"/>
  <c r="A99" i="1"/>
  <c r="C92" i="1"/>
  <c r="A92" i="1"/>
  <c r="C76" i="1"/>
  <c r="A76" i="1"/>
  <c r="C64" i="1"/>
  <c r="A64" i="1"/>
  <c r="C59" i="1"/>
  <c r="A59" i="1"/>
  <c r="L11" i="2" l="1"/>
  <c r="M12" i="2"/>
  <c r="B24" i="2"/>
  <c r="K20" i="2"/>
  <c r="B10" i="2"/>
  <c r="B21" i="2"/>
  <c r="K12" i="2"/>
  <c r="L14" i="2"/>
  <c r="M20" i="2"/>
  <c r="M24" i="2"/>
  <c r="M26" i="2"/>
  <c r="M17" i="2"/>
  <c r="M18" i="2"/>
  <c r="L21" i="2"/>
  <c r="K25" i="2"/>
  <c r="L16" i="2"/>
  <c r="L10" i="2"/>
  <c r="M15" i="2"/>
  <c r="B12" i="2"/>
  <c r="B11" i="2"/>
  <c r="M19" i="2"/>
  <c r="L22" i="2"/>
  <c r="L24" i="2"/>
  <c r="K11" i="2"/>
  <c r="M11" i="2"/>
  <c r="K21" i="2"/>
  <c r="L25" i="2"/>
  <c r="L19" i="2"/>
  <c r="M21" i="2"/>
  <c r="C10" i="5"/>
  <c r="A9" i="3"/>
  <c r="L13" i="2"/>
  <c r="C10" i="8"/>
  <c r="A12" i="3"/>
  <c r="L15" i="2"/>
  <c r="C10" i="10"/>
  <c r="A14" i="3"/>
  <c r="L17" i="2"/>
  <c r="B20" i="2"/>
  <c r="C10" i="14"/>
  <c r="A18" i="3"/>
  <c r="L23" i="2"/>
  <c r="K28" i="2"/>
  <c r="C11" i="18" s="1"/>
  <c r="L27" i="2"/>
  <c r="K29" i="2"/>
  <c r="K10" i="2"/>
  <c r="B13" i="2"/>
  <c r="M13" i="2"/>
  <c r="K14" i="2"/>
  <c r="K16" i="2"/>
  <c r="K19" i="2"/>
  <c r="D10" i="13"/>
  <c r="A17" i="3"/>
  <c r="K22" i="2"/>
  <c r="B23" i="2"/>
  <c r="M23" i="2"/>
  <c r="K24" i="2"/>
  <c r="K26" i="2"/>
  <c r="G32" i="18"/>
  <c r="C26" i="18"/>
  <c r="C22" i="18"/>
  <c r="E32" i="18"/>
  <c r="C21" i="18"/>
  <c r="C32" i="18"/>
  <c r="C24" i="18"/>
  <c r="C16" i="18"/>
  <c r="C27" i="18"/>
  <c r="D10" i="9"/>
  <c r="A13" i="3"/>
  <c r="C10" i="11"/>
  <c r="A15" i="3"/>
  <c r="C10" i="12"/>
  <c r="A16" i="3"/>
  <c r="K27" i="2"/>
  <c r="M28" i="2"/>
  <c r="C9" i="18" s="1"/>
  <c r="A11" i="3"/>
  <c r="D10" i="7"/>
  <c r="D10" i="15"/>
  <c r="A19" i="3"/>
  <c r="B25" i="2"/>
  <c r="B29" i="2"/>
  <c r="M10" i="2"/>
  <c r="A10" i="3"/>
  <c r="C10" i="6"/>
  <c r="L12" i="2"/>
  <c r="K13" i="2"/>
  <c r="M14" i="2"/>
  <c r="K15" i="2"/>
  <c r="M16" i="2"/>
  <c r="K17" i="2"/>
  <c r="K18" i="2"/>
  <c r="B19" i="2"/>
  <c r="L20" i="2"/>
  <c r="B22" i="2"/>
  <c r="M22" i="2"/>
  <c r="K23" i="2"/>
  <c r="B26" i="2"/>
  <c r="M27" i="2"/>
  <c r="L18" i="2"/>
  <c r="M25" i="2"/>
  <c r="L26" i="2"/>
  <c r="A20" i="3"/>
  <c r="C10" i="17"/>
  <c r="B27" i="2"/>
  <c r="B28" i="2"/>
  <c r="A21" i="3"/>
  <c r="L29" i="2"/>
  <c r="C10" i="16"/>
  <c r="M29" i="2"/>
  <c r="A24" i="3"/>
  <c r="C10" i="19"/>
  <c r="L28" i="2"/>
  <c r="C23" i="18" s="1"/>
  <c r="A23" i="3"/>
  <c r="W15" i="2" l="1"/>
  <c r="C44" i="18"/>
  <c r="W17" i="2"/>
  <c r="W22" i="2"/>
  <c r="W11" i="2"/>
  <c r="W13" i="2"/>
  <c r="W20" i="2"/>
  <c r="F24" i="3"/>
  <c r="B24" i="3"/>
  <c r="E24" i="3"/>
  <c r="D24" i="3"/>
  <c r="G24" i="3"/>
  <c r="C24" i="3"/>
  <c r="W28" i="2"/>
  <c r="E33" i="17"/>
  <c r="C22" i="17"/>
  <c r="C9" i="17"/>
  <c r="C33" i="17"/>
  <c r="C25" i="17"/>
  <c r="C16" i="17"/>
  <c r="C46" i="17"/>
  <c r="C28" i="17"/>
  <c r="C24" i="17"/>
  <c r="C11" i="17"/>
  <c r="G33" i="17"/>
  <c r="C27" i="17"/>
  <c r="C23" i="17"/>
  <c r="D45" i="15"/>
  <c r="D28" i="15"/>
  <c r="D24" i="15"/>
  <c r="D11" i="15"/>
  <c r="H33" i="15"/>
  <c r="D27" i="15"/>
  <c r="D23" i="15"/>
  <c r="F33" i="15"/>
  <c r="D22" i="15"/>
  <c r="D9" i="15"/>
  <c r="D33" i="15"/>
  <c r="D25" i="15"/>
  <c r="D17" i="15"/>
  <c r="C30" i="12"/>
  <c r="C22" i="12"/>
  <c r="C15" i="12"/>
  <c r="C42" i="12"/>
  <c r="C25" i="12"/>
  <c r="C21" i="12"/>
  <c r="C11" i="12"/>
  <c r="G30" i="12"/>
  <c r="C24" i="12"/>
  <c r="C20" i="12"/>
  <c r="E30" i="12"/>
  <c r="C19" i="12"/>
  <c r="C9" i="12"/>
  <c r="D13" i="3"/>
  <c r="G13" i="3"/>
  <c r="C13" i="3"/>
  <c r="F13" i="3"/>
  <c r="B13" i="3"/>
  <c r="E13" i="3"/>
  <c r="G31" i="10"/>
  <c r="C25" i="10"/>
  <c r="C21" i="10"/>
  <c r="E31" i="10"/>
  <c r="C20" i="10"/>
  <c r="C9" i="10"/>
  <c r="C31" i="10"/>
  <c r="C23" i="10"/>
  <c r="C15" i="10"/>
  <c r="C44" i="10"/>
  <c r="C26" i="10"/>
  <c r="C22" i="10"/>
  <c r="C11" i="10"/>
  <c r="G31" i="8"/>
  <c r="C25" i="8"/>
  <c r="C21" i="8"/>
  <c r="E31" i="8"/>
  <c r="C20" i="8"/>
  <c r="C9" i="8"/>
  <c r="C31" i="8"/>
  <c r="C23" i="8"/>
  <c r="C16" i="8"/>
  <c r="C42" i="8"/>
  <c r="X14" i="2" s="1"/>
  <c r="C26" i="8"/>
  <c r="C22" i="8"/>
  <c r="C11" i="8"/>
  <c r="C53" i="5"/>
  <c r="C24" i="5"/>
  <c r="C20" i="5"/>
  <c r="C11" i="5"/>
  <c r="G39" i="5"/>
  <c r="C23" i="5"/>
  <c r="C19" i="5"/>
  <c r="E39" i="5"/>
  <c r="C18" i="5"/>
  <c r="C9" i="5"/>
  <c r="C39" i="5"/>
  <c r="C21" i="5"/>
  <c r="C14" i="5"/>
  <c r="F33" i="9"/>
  <c r="D21" i="9"/>
  <c r="D9" i="9"/>
  <c r="D33" i="9"/>
  <c r="D24" i="9"/>
  <c r="D16" i="9"/>
  <c r="D65" i="9"/>
  <c r="D27" i="9"/>
  <c r="D23" i="9"/>
  <c r="D11" i="9"/>
  <c r="H33" i="9"/>
  <c r="D26" i="9"/>
  <c r="D22" i="9"/>
  <c r="W23" i="2"/>
  <c r="G20" i="3"/>
  <c r="C20" i="3"/>
  <c r="F20" i="3"/>
  <c r="B20" i="3"/>
  <c r="E20" i="3"/>
  <c r="D20" i="3"/>
  <c r="C30" i="16"/>
  <c r="C22" i="16"/>
  <c r="C14" i="16"/>
  <c r="C42" i="16"/>
  <c r="C25" i="16"/>
  <c r="C21" i="16"/>
  <c r="C11" i="16"/>
  <c r="G30" i="16"/>
  <c r="C24" i="16"/>
  <c r="C20" i="16"/>
  <c r="E30" i="16"/>
  <c r="C19" i="16"/>
  <c r="C9" i="16"/>
  <c r="W29" i="2"/>
  <c r="C39" i="6"/>
  <c r="C25" i="6"/>
  <c r="C16" i="6"/>
  <c r="C83" i="6"/>
  <c r="C28" i="6"/>
  <c r="C24" i="6"/>
  <c r="C11" i="6"/>
  <c r="G39" i="6"/>
  <c r="C27" i="6"/>
  <c r="C23" i="6"/>
  <c r="E39" i="6"/>
  <c r="C22" i="6"/>
  <c r="C9" i="6"/>
  <c r="F33" i="7"/>
  <c r="D22" i="7"/>
  <c r="D9" i="7"/>
  <c r="D33" i="7"/>
  <c r="D25" i="7"/>
  <c r="D16" i="7"/>
  <c r="D49" i="7"/>
  <c r="D28" i="7"/>
  <c r="D24" i="7"/>
  <c r="D11" i="7"/>
  <c r="H33" i="7"/>
  <c r="D27" i="7"/>
  <c r="D23" i="7"/>
  <c r="W18" i="2"/>
  <c r="F15" i="3"/>
  <c r="B15" i="3"/>
  <c r="E15" i="3"/>
  <c r="D15" i="3"/>
  <c r="G15" i="3"/>
  <c r="C15" i="3"/>
  <c r="D17" i="3"/>
  <c r="G17" i="3"/>
  <c r="C17" i="3"/>
  <c r="F17" i="3"/>
  <c r="B17" i="3"/>
  <c r="E17" i="3"/>
  <c r="E18" i="3"/>
  <c r="G18" i="3"/>
  <c r="C18" i="3"/>
  <c r="F18" i="3"/>
  <c r="B18" i="3"/>
  <c r="W16" i="2"/>
  <c r="W14" i="2"/>
  <c r="W10" i="2"/>
  <c r="E23" i="3"/>
  <c r="D23" i="3"/>
  <c r="G23" i="3"/>
  <c r="C23" i="3"/>
  <c r="F23" i="3"/>
  <c r="B23" i="3"/>
  <c r="D21" i="3"/>
  <c r="G21" i="3"/>
  <c r="C21" i="3"/>
  <c r="F21" i="3"/>
  <c r="B21" i="3"/>
  <c r="E21" i="3"/>
  <c r="C45" i="19"/>
  <c r="C27" i="19"/>
  <c r="C23" i="19"/>
  <c r="C11" i="19"/>
  <c r="G32" i="19"/>
  <c r="C26" i="19"/>
  <c r="C22" i="19"/>
  <c r="E32" i="19"/>
  <c r="C21" i="19"/>
  <c r="C9" i="19"/>
  <c r="C32" i="19"/>
  <c r="C24" i="19"/>
  <c r="C15" i="19"/>
  <c r="E10" i="3"/>
  <c r="D10" i="3"/>
  <c r="G10" i="3"/>
  <c r="C10" i="3"/>
  <c r="F10" i="3"/>
  <c r="B10" i="3"/>
  <c r="F19" i="3"/>
  <c r="B19" i="3"/>
  <c r="E19" i="3"/>
  <c r="D19" i="3"/>
  <c r="G19" i="3"/>
  <c r="C19" i="3"/>
  <c r="F11" i="3"/>
  <c r="B11" i="3"/>
  <c r="E11" i="3"/>
  <c r="D11" i="3"/>
  <c r="G11" i="3"/>
  <c r="C11" i="3"/>
  <c r="G16" i="3"/>
  <c r="C16" i="3"/>
  <c r="F16" i="3"/>
  <c r="B16" i="3"/>
  <c r="E16" i="3"/>
  <c r="D16" i="3"/>
  <c r="C73" i="11"/>
  <c r="C28" i="11"/>
  <c r="C24" i="11"/>
  <c r="C11" i="11"/>
  <c r="C27" i="11"/>
  <c r="C23" i="11"/>
  <c r="C22" i="11"/>
  <c r="C9" i="11"/>
  <c r="C25" i="11"/>
  <c r="C16" i="11"/>
  <c r="W27" i="2"/>
  <c r="F31" i="13"/>
  <c r="D20" i="13"/>
  <c r="D9" i="13"/>
  <c r="D31" i="13"/>
  <c r="D23" i="13"/>
  <c r="D15" i="13"/>
  <c r="D43" i="13"/>
  <c r="D26" i="13"/>
  <c r="D22" i="13"/>
  <c r="D11" i="13"/>
  <c r="H31" i="13"/>
  <c r="D25" i="13"/>
  <c r="D21" i="13"/>
  <c r="G32" i="14"/>
  <c r="C26" i="14"/>
  <c r="C22" i="14"/>
  <c r="E32" i="14"/>
  <c r="C21" i="14"/>
  <c r="C9" i="14"/>
  <c r="C32" i="14"/>
  <c r="C24" i="14"/>
  <c r="C17" i="14"/>
  <c r="C44" i="14"/>
  <c r="C27" i="14"/>
  <c r="C23" i="14"/>
  <c r="C11" i="14"/>
  <c r="E14" i="3"/>
  <c r="D14" i="3"/>
  <c r="G14" i="3"/>
  <c r="C14" i="3"/>
  <c r="F14" i="3"/>
  <c r="B14" i="3"/>
  <c r="G12" i="3"/>
  <c r="C12" i="3"/>
  <c r="F12" i="3"/>
  <c r="B12" i="3"/>
  <c r="E12" i="3"/>
  <c r="D12" i="3"/>
  <c r="D9" i="3"/>
  <c r="G9" i="3"/>
  <c r="C9" i="3"/>
  <c r="F9" i="3"/>
  <c r="B9" i="3"/>
  <c r="E9" i="3"/>
  <c r="W26" i="2"/>
</calcChain>
</file>

<file path=xl/sharedStrings.xml><?xml version="1.0" encoding="utf-8"?>
<sst xmlns="http://schemas.openxmlformats.org/spreadsheetml/2006/main" count="2745" uniqueCount="800">
  <si>
    <t>ViewRay</t>
  </si>
  <si>
    <t>Narrative</t>
  </si>
  <si>
    <t>Financial Close and Reporting (FCR)</t>
  </si>
  <si>
    <t>FY 2019</t>
  </si>
  <si>
    <r>
      <t xml:space="preserve">Process Title: </t>
    </r>
    <r>
      <rPr>
        <b/>
        <sz val="11"/>
        <color theme="1"/>
        <rFont val="Calibri"/>
        <family val="2"/>
        <scheme val="minor"/>
      </rPr>
      <t xml:space="preserve">Financial Close and Reporting </t>
    </r>
  </si>
  <si>
    <r>
      <t xml:space="preserve">Revision Date: </t>
    </r>
    <r>
      <rPr>
        <sz val="10"/>
        <rFont val="Arial"/>
        <family val="2"/>
      </rPr>
      <t>August 7, 2019</t>
    </r>
  </si>
  <si>
    <t>Sub-Process:</t>
  </si>
  <si>
    <r>
      <t xml:space="preserve">Location: </t>
    </r>
    <r>
      <rPr>
        <b/>
        <sz val="11"/>
        <color theme="1"/>
        <rFont val="Calibri"/>
        <family val="2"/>
        <scheme val="minor"/>
      </rPr>
      <t>US</t>
    </r>
  </si>
  <si>
    <t>FCR 1.00</t>
  </si>
  <si>
    <t>Chart of Accounts Set-up / Maintenance</t>
  </si>
  <si>
    <t>FCR 2.00</t>
  </si>
  <si>
    <t>Journal Entries</t>
  </si>
  <si>
    <t>Legend:</t>
  </si>
  <si>
    <t>FCR 3.00</t>
  </si>
  <si>
    <t>Accruals &amp; Prepaids</t>
  </si>
  <si>
    <t>F</t>
  </si>
  <si>
    <t>Manual Control</t>
  </si>
  <si>
    <t>FCR 4.00</t>
  </si>
  <si>
    <t>Account Reconciliations</t>
  </si>
  <si>
    <t>:</t>
  </si>
  <si>
    <t>System Control</t>
  </si>
  <si>
    <t>FCR 5.00</t>
  </si>
  <si>
    <t>Period-End Close</t>
  </si>
  <si>
    <t>Bold</t>
  </si>
  <si>
    <t>Key Control</t>
  </si>
  <si>
    <t>FCR 6.00</t>
  </si>
  <si>
    <t>External Reporting</t>
  </si>
  <si>
    <t>[red]</t>
  </si>
  <si>
    <t>Recommended</t>
  </si>
  <si>
    <t>FCR 7.00</t>
  </si>
  <si>
    <t>System Access</t>
  </si>
  <si>
    <t>Key Individuals:</t>
  </si>
  <si>
    <t>Systems (In-scope):</t>
  </si>
  <si>
    <t>CFO</t>
  </si>
  <si>
    <t xml:space="preserve">Ajay Bansal
</t>
  </si>
  <si>
    <t>QAD</t>
  </si>
  <si>
    <t>VP of Finance</t>
  </si>
  <si>
    <t>Brian Kaley</t>
  </si>
  <si>
    <t>Corporate Controller</t>
  </si>
  <si>
    <t>Cassie Mahar</t>
  </si>
  <si>
    <t>Systems (Out of scope):</t>
  </si>
  <si>
    <t>Director of Finance</t>
  </si>
  <si>
    <t>Maria Passechnitchenko</t>
  </si>
  <si>
    <t>Active Disclosure</t>
  </si>
  <si>
    <t>Director of Revenue</t>
  </si>
  <si>
    <t>Katherine Jia</t>
  </si>
  <si>
    <t>Director of Cost Accounting</t>
  </si>
  <si>
    <t>Kevin Brown</t>
  </si>
  <si>
    <t>Financial Statement Captions:</t>
  </si>
  <si>
    <t>Senior Manager, SEC &amp; SOX</t>
  </si>
  <si>
    <t>Kevin Lowrey</t>
  </si>
  <si>
    <t>All</t>
  </si>
  <si>
    <t>Accounting Manger</t>
  </si>
  <si>
    <t>Katherine Nguyen</t>
  </si>
  <si>
    <t>Senior Analyst, SEC &amp; SOX</t>
  </si>
  <si>
    <t>Dale Matsuda</t>
  </si>
  <si>
    <t>Acronyms:</t>
  </si>
  <si>
    <t>Senior GL Accountant</t>
  </si>
  <si>
    <t>Uy Lam</t>
  </si>
  <si>
    <t>AC -Audit Committee</t>
  </si>
  <si>
    <t>Disclosure Committee</t>
  </si>
  <si>
    <t>Various</t>
  </si>
  <si>
    <t>AvA - Actual versus Actual</t>
  </si>
  <si>
    <t>BvA - Budget versus Actual</t>
  </si>
  <si>
    <t>Supplemental Documentation:</t>
  </si>
  <si>
    <t>BoD - Board of Directors</t>
  </si>
  <si>
    <t>Chart of Accounts</t>
  </si>
  <si>
    <t>BS - Balance Sheet</t>
  </si>
  <si>
    <t>GAAP Disclosure Checklist</t>
  </si>
  <si>
    <t>COA - Chart of Accounts</t>
  </si>
  <si>
    <t>Journal Entry Forms</t>
  </si>
  <si>
    <t>DC - Disclosure Committee</t>
  </si>
  <si>
    <t>Month End Close Checklist</t>
  </si>
  <si>
    <t>FS - Financial Statements</t>
  </si>
  <si>
    <t>Reporting Calendar</t>
  </si>
  <si>
    <t>JE - Journal Entry</t>
  </si>
  <si>
    <t>Audit Committee meting minutes</t>
  </si>
  <si>
    <t xml:space="preserve">P&amp;L - Profit &amp; Loss </t>
  </si>
  <si>
    <t>TB - Trial Balance</t>
  </si>
  <si>
    <t>Key Reports / Spreadsheets / Data Forms:</t>
  </si>
  <si>
    <t>SCF - Statement of Cash Flows</t>
  </si>
  <si>
    <t>Actual v Actual Flux Analysis</t>
  </si>
  <si>
    <t>Complimentary Narratives:</t>
  </si>
  <si>
    <t>Balance Sheet</t>
  </si>
  <si>
    <t>ELC - 302/906 certifications and Disclosure Committee and Audit Committee financial statement review</t>
  </si>
  <si>
    <t>Cash Flow Statement</t>
  </si>
  <si>
    <t>ESA - stock compensation related accruals</t>
  </si>
  <si>
    <t>P&amp;L</t>
  </si>
  <si>
    <t>INV - inventory related accruals</t>
  </si>
  <si>
    <t>Subsequent Invoice Log</t>
  </si>
  <si>
    <t>HRP - payroll related accruals</t>
  </si>
  <si>
    <t>Trial Balance</t>
  </si>
  <si>
    <t>ITGC - IT related controls over the financial systems</t>
  </si>
  <si>
    <t>Accrualify Unvouched Invoice List</t>
  </si>
  <si>
    <t>QAD General Ledger Transaction Extended View</t>
  </si>
  <si>
    <t>I. PROCESS OVERVIEW</t>
  </si>
  <si>
    <t xml:space="preserve">A Monthly Close Checklist is maintained for each month-end close . The Accounting Manager initiates the month-end close process in QAD. The accounting team including Accounting Manager, Cost Accounting Manager, and Staff Accountants prepare month-end close related journal entries and reconciliations.  Journal entries, reconciliations, and supporting schedules for the month are reviewed by an individual independent of the preparer and filed in the month end binder.
The Finance team drafts the quarterly and annual financial statements and footnote disclosures for the 10-Q and 10-K filings that are reviewed and approved by the CFO and CEO.  The GAAP Disclosure Checklist is utilized in the preparation of the financial statements to ensure the completeness of the disclosures..  
Currently, the Company has only one reporting entity.  Access to QAD is restricted to authorized users.  
</t>
  </si>
  <si>
    <t>II. PROCEDURES</t>
  </si>
  <si>
    <t>Control 
Type</t>
  </si>
  <si>
    <t xml:space="preserve">Control In Place Date </t>
  </si>
  <si>
    <t>Control Owner</t>
  </si>
  <si>
    <t>FCR 1.01</t>
  </si>
  <si>
    <t>Access to edit the Chart of Accounts in QAD is restricted to the Accounting Manager and system administrators.  All requests to add, modify, or delete the chart of accounts are sent to the Corporate Controller prior to implementing the change in QAD.</t>
  </si>
  <si>
    <t>FCR 1.02</t>
  </si>
  <si>
    <t>All requests for Chart of Accounts additions, modifications, and deletions are approved by the Corporate Controller for approval.  Approval is evidenced by email.</t>
  </si>
  <si>
    <t>FCR 2.01</t>
  </si>
  <si>
    <t>All journal entries into QAD are assigned a sequential transaction ID.</t>
  </si>
  <si>
    <t>FCR 2.02</t>
  </si>
  <si>
    <r>
      <rPr>
        <sz val="10"/>
        <rFont val="Arial"/>
        <family val="2"/>
      </rPr>
      <t>During Q1 2019 and prior, the Company maintains Journal Entry Forms for manual journal entries that are not uploaded into QAD.  Journal Entry Forms are in an Excel format that is reviewed by a person independent of the preparer as evidenced by sign-off on the Journal Entry Form.  Journal entries are reviewed prior to the period close in QAD including the Journal Entry Form and any documentation support.   Effective 3/31/2019, evidence of JE approval are within QAD which shows the preparer, approver, and date approved.</t>
    </r>
    <r>
      <rPr>
        <strike/>
        <sz val="10"/>
        <rFont val="Arial"/>
        <family val="2"/>
      </rPr>
      <t xml:space="preserve">
</t>
    </r>
  </si>
  <si>
    <t>FCR 2.03</t>
  </si>
  <si>
    <t xml:space="preserve">Manual journal entries are entered in the  'transient layer' within QAD upon entry.  In the transient layer, the preparer can make changes to the journal entry.  After the journal entry is transferred to QAD's 'official layer', it posts to the general ledger.  Journals in the 'official layer' can no longer be modified.  </t>
  </si>
  <si>
    <t>FCR 2.04</t>
  </si>
  <si>
    <t>Recurring journal entries, if any, can be set up and approved upon the initial entry and automatically posted to the general ledger once approved.  All recurring journal entries are reviewed prior to the period close in QAD.  Prior to March 2019 month end, the system journal entry was printed, signed, and attached to the supporting documents as evidenced of approval.  Effective March 2019, approval evidence is saved within QAD and the JE and support are saved in the month end folder by JE number.</t>
  </si>
  <si>
    <t>FCR 2.05</t>
  </si>
  <si>
    <t>All journal entries are reviewed by an individual independent of the preparer at the Accounting Manager level and above.  The reviewer agrees the system journal entry to the Journal Entry Form, as applicable and to the support to evidence proper preparation. The review also includes ensuring that the support is adequate and mathematically accurate.  The review is evidenced by sign off on the Journal Entry Form or sign off on the printed journal entry. As of March 2019 month end, journal entries are routed for approval within QAD, thus the review and approval is evidenced by the QAD system approver.</t>
  </si>
  <si>
    <t>Accounting Manager &amp; Above</t>
  </si>
  <si>
    <t>FCR 2.06</t>
  </si>
  <si>
    <t xml:space="preserve">Soft copies of the Journal Entry Form and/or printed system journal entry, along with the supporting documentation, are maintained in the Month End folder within the Finance Drive. </t>
  </si>
  <si>
    <t>FCR 2.07</t>
  </si>
  <si>
    <r>
      <t xml:space="preserve">QAD is configured to reject a journal entry that: 1) is unbalanced,  or 2) contains inactive or invalid general ledger accounts. QAD is also configured to reject changes to a journal entry that has been posted. </t>
    </r>
    <r>
      <rPr>
        <i/>
        <sz val="10"/>
        <rFont val="Arial"/>
        <family val="2"/>
      </rPr>
      <t>Refer to section FCR 5.00 for the non-key control covering locking of accounting periods.</t>
    </r>
  </si>
  <si>
    <t>FCR 2.08</t>
  </si>
  <si>
    <t>At month end, all journals residing in the transient layer are reviewed by the Accounting Manager or delegate, to determine whether each entry has been approved for posting or should be rejected, thus to be deleted. No journal entries will reside in the transient layer when accounting period is locked. All approved journal entries are transferred to the 'official; layer by the Accounting Manager upon validation.</t>
  </si>
  <si>
    <t>FCR 2.09</t>
  </si>
  <si>
    <t>At each month end, the Corporate Controller, who does not have access to post journal entries, reviews the QAD Journal Entry Listing to ensure that all journal entries were properly authorized and reviewed/approved by someone other than the preparer.  Effective May 2019, the Corporate Controller also reviews all users listed as creators general ledger entries for the period to ensure that the QAD administrators (superusers) have not processed any general ledger transactions.  The review is evidenced by sign off and date on the QAD Journal Entry Listing and screen shots of all creators of general ledger entries for the period.</t>
  </si>
  <si>
    <t>FCR 3.01</t>
  </si>
  <si>
    <t>By the end the first business day of the month, the AP team enters all approved invoices in to QAD, as applicable.</t>
  </si>
  <si>
    <t>FCR 3.02</t>
  </si>
  <si>
    <t xml:space="preserve">Once AP is closed, the Senior GL Accountant sends a list of paid invoices to Accrualify to update the unpaid invoices to paid status in Accrualify.  Upon completion of marking invoice payments by Accrualify, the Senior GL Accountant validates the update by sampling some invoices to ensure the invoices are updated as requested.    </t>
  </si>
  <si>
    <t>FCR 3.03</t>
  </si>
  <si>
    <t xml:space="preserve">Once the open invoice balance in Accrualify agrees to QAD, the Senior GL Accountant prepares the Unvouched Invoice List from Accrualify for both Inventory and non-Inventory and forwards the Unvouched Invoice Listing to the other Accounting team members and Cost Accounting, who prepare the accruals.  </t>
  </si>
  <si>
    <t>FCR 3.04</t>
  </si>
  <si>
    <t>On a quarterly basis, the Senior Accountant validates the Accrualify Unvouched Invoice List by selecting sample invoices from the AP inbox that were received the prior business day.  The sampled invoices are agreed to the Accrualify report to ensure that each was accurately captured in the Unvouched Invoice List.  If any variances exist, the Accrualify is contacted to resolve the issue.  The Senior Accountant signs off on the report and notes all findings as evidence of review, along with retaining a copy of the sampled invoices with the final tested report.</t>
  </si>
  <si>
    <t>Senior Accountant</t>
  </si>
  <si>
    <t>FCR 3.05</t>
  </si>
  <si>
    <t>Quarterly, the AP Team reviews all subsequent invoices upon receipt to identify any expenses applicable to the period being closed. Invoices over $100k (invoice total or cumulative total) are reviewed up until the filing date for inclusion in the quarter's accruals.  If a subsequent invoice is received for a prior period the Accounting Manager is notified to determine inclusion in the period under close.  All of the subsequent invoices related to the period under close are documented on the Subsequent Invoice Log.</t>
  </si>
  <si>
    <t>FCR 3.06</t>
  </si>
  <si>
    <t>Accruals related to employee reimbursable expenses and credit cards are prepared by the GL Team.  Unprocessed expense reports are obtained from Concur and the PNC.  The lists of unprocessed expenses are included in monthly accrual journal entry.</t>
  </si>
  <si>
    <t>FCR 3.07</t>
  </si>
  <si>
    <t xml:space="preserve">At least quarterly, the Accounting Manager emails the Marketing Cost Center Managers and the AP Accountants email key vendors for other services requesting them to provide invoices and estimates for unbilled invoices to determine the accrual for the current period.  </t>
  </si>
  <si>
    <t>FCR 3.08</t>
  </si>
  <si>
    <t>Monthly, the Senior GL Accountant prepares the monthly non-materials accrual journal entry based on unmatched invoices in Accrualify, unprocessed expense reports in Concur/PCN, subsequent invoices, and estimates or invoices provided by business owners and vendors.  The Senior GL Accountant determines the accrual for each vendor as documented via notes in the accrual workbook.</t>
  </si>
  <si>
    <t>FCR 3.09</t>
  </si>
  <si>
    <r>
      <t xml:space="preserve">The Accounting Manager or delegate reviews and approves the monthly non-materials accrual journal entries for completeness and accuracy. The review includes ensuring that accrued expenses are not duplicated in the AP Aging, the notes on the Accrual workbook are properly supported.  The review is evidenced by review notes and sign-off is evidence of approval. </t>
    </r>
    <r>
      <rPr>
        <b/>
        <i/>
        <sz val="10"/>
        <rFont val="Arial"/>
        <family val="2"/>
      </rPr>
      <t xml:space="preserve"> Refer to section INV 3.00 for the key control over the materials accrual. </t>
    </r>
  </si>
  <si>
    <t>INV 3.09</t>
  </si>
  <si>
    <t>Quarterly, the In-transit Inventory and RNI analyses, along with the resulting journal entries (if any) are prepared by the Cost Accounting Manager.  The analyses and journal entries is reviewed and approved by the Director of Cost Accounting.  The review includes 1) ensuring that any inventory physically received in prior period but transacted in QAD in current period is accrued, 2) and ensuring that any inventory shipped via Exworks Incoterm which has been shipped and/or invoiced but not received is properly accrued. The review is evidence by review notes and approval is evidenced by the Director of Cost Accounting's sign off on the analysis and journal entry.</t>
  </si>
  <si>
    <t>FCR 3.10</t>
  </si>
  <si>
    <r>
      <t xml:space="preserve">All prepaid expenses greater than $5k are capitalized and added to the Prepaid Rolling Schedule.  Monthly, the GL Accountant prepares the Prepaid Rolling Schedules and the amortization journal entry.  The amortization journal entry is submitted for review and approval to the Accounting Manager. </t>
    </r>
    <r>
      <rPr>
        <i/>
        <sz val="10"/>
        <rFont val="Arial"/>
        <family val="2"/>
      </rPr>
      <t xml:space="preserve"> Refer to sections FCR 2.00 for the key control over journal entries and FCR 4.00 for the key control over account reconciliations.</t>
    </r>
  </si>
  <si>
    <t>FCR 3.11</t>
  </si>
  <si>
    <t>Refer to section HRP 8.00 for the process and key control over PTO and Bonus Accruals, to INV 3.00 for the process and key controls over inventory accruals, and to ESA 4.00 for stock compensation accruals.</t>
  </si>
  <si>
    <t>FCR 3.12</t>
  </si>
  <si>
    <t>In the month after the quarter end and prior to filing the 10Q/10K, the Corporate Controller reviews the Subsequent Invoice Log to determine the materiality of the invoices on the listing and whether any should be recorded in the reporting period. The review and decision is documented by sign-off or emails.</t>
  </si>
  <si>
    <t>FCR 4.01</t>
  </si>
  <si>
    <t xml:space="preserve">Monthly, the Accounting Team reconciles all balance sheet accounts except equity accounts, which are reconciled only quarterly.  </t>
  </si>
  <si>
    <t>FCR 4.02</t>
  </si>
  <si>
    <t xml:space="preserve">Monthly, all reconciliations are reviewed by an individual independent of the preparer by agreeing the reconciliation to the supporting documentation, ensuring mathematical accuracy, and agreeing the ending balance to the general ledger.  Reconciling items exceeding the greater of $1K are investigated and explained.  The review is evidenced by comments noted on the reconciliation and the approval is evidenced by sign-off on the reconciliation.  </t>
  </si>
  <si>
    <t>Accounting Manager or Above</t>
  </si>
  <si>
    <t>FCR 4.03</t>
  </si>
  <si>
    <t>If there are discrepancies identified or comments on the reconciliation that require resolution, it is returned to the preparer to address, and a new/updated reconciliation is resubmitted to the approver.</t>
  </si>
  <si>
    <t>FCR 4.04</t>
  </si>
  <si>
    <t>Monthly, the Corporate Controller reviews all account reconciliations against the trial balance to ensure the completeness of the month end reconciliations and to ensure that all activity for the period has been properly reviewed.  The final trial balance is signed off and dated by the Corporate Controller, along with any notes, to evidence the review and approval.</t>
  </si>
  <si>
    <t>FCR 5.01</t>
  </si>
  <si>
    <t xml:space="preserve">The Company is on a calendar month-end.  A full monthly close is typically performed within ten business days starting on the first business day of the month following the close month. Actual time to close may vary. </t>
  </si>
  <si>
    <t>FCR 5.02</t>
  </si>
  <si>
    <t xml:space="preserve">The Accounting Team maintains a Month-End Close Checklist noting the timeline for each activity. The Month-End Close Checklist details the individual tasks to be performed, task owners, and task due dates.  Preparers and reviewers comment on Month-End Close Checklist to confirm tasks are completed.  </t>
  </si>
  <si>
    <t>FCR 5.03</t>
  </si>
  <si>
    <t>On a quarterly basis, the Corporate Controller reviews the Month-end Close Checklist to track and confirm the completion of the monthly journal entries and account reconciliations based on the balance sheet before the general ledger is closed for the month as evidenced by notes and sign off.</t>
  </si>
  <si>
    <t>FCR 5.04</t>
  </si>
  <si>
    <t>On a quarterly basis, once all the period-end entries have been recorded, the Accounting Manager obtains the allocation percentages by department prepared by Finance and runs a report showing the operating expenses from the general ledger for the Facilities and IT departments.  The total operating expenses for these departments are then allocated to G&amp;A, S&amp;M, and R&amp;D based on the percentages from Finance each department of the functional classification for that period. The Accounting Manager prepares the journal entry for allocating the Facilities and IT expense to G&amp;A, S&amp;M, and R&amp;D.</t>
  </si>
  <si>
    <t>FCR 5.05</t>
  </si>
  <si>
    <t>Quarterly, the Corporate Controller reviews and approves the operating expense allocation journal entry.  The review includes agreeing the journal entry to the allocation percentages provided by Finance, allocable costs to general ledger expense report, and verifying the mathematical accuracy of the calculation.  The review and approval is evidenced via sign-off on the journal entry.</t>
  </si>
  <si>
    <t>FCR 5.06</t>
  </si>
  <si>
    <r>
      <t>At month-end, the Accounting Manager manually enters the exchange rates (including month-end rate and average rate for the month) into QAD. Balance sheet accounts are converted using the conversion rate on the last day of the quarter. using the quarter-end rate.</t>
    </r>
    <r>
      <rPr>
        <strike/>
        <sz val="10"/>
        <rFont val="Arial"/>
        <family val="2"/>
      </rPr>
      <t xml:space="preserve"> </t>
    </r>
  </si>
  <si>
    <t>FCR 5.07</t>
  </si>
  <si>
    <t xml:space="preserve">The Accounting Managers generates the trial balance, P&amp;L, and Balance Sheet in QAD. A month over month (MoM) flux analysis of the P&amp;L is prepared to ensure the activity is in line with current business trends.  The financial statements and trial balance are sent to the Corporate Controller for review and approval. </t>
  </si>
  <si>
    <t>FCR 5.08</t>
  </si>
  <si>
    <t>Monthly, the Corporate Controller reviews and approves the financial statements and trial balance.  The review includes ensuring total assets agree between the trial balance and the Balance Sheet, net loss for the period on the P&amp;L agrees to the difference in retained earnings on the Balance Sheet and total OpEx on the P&amp;L agreed to the trial balance.  Any adjustments found during the review are investigated and corrected.   The review and approval is evidenced via email.</t>
  </si>
  <si>
    <t>Q3 2018</t>
  </si>
  <si>
    <t>FCR 5.09</t>
  </si>
  <si>
    <t>Quarterly, the Finance prepares a Budget versus Actual (BvA) Analysis of the Income Statement accounts, along with Accounts Payable and Cash,  to ensure that expenses are in line with the budget.  Material variances greater than $100K and 15% are further reviewed and explanations documented.  The BvA is sent to the Executive team and VPs for review.  All comments are sent to Finance, and the BvA updated, as needed.</t>
  </si>
  <si>
    <t>FCR 5.10</t>
  </si>
  <si>
    <t>On a quarterly basis, the Senior Manager, SEC &amp; SOX or delegate prepares the Actual versus Actual (AvA) flux analysis for both the balance sheet and P&amp;L.  The AvA analyzes changes quarter over quarter, current quarter versus the last quarter, and year over year.   All variances greater than $100k and 10% are investigated and explained.  Each AvA flux analysis is reviewed by someone other than the preparer to ensure that all variances are properly explained, along with looking at any variances noted in Finance's BvA to ensure there are no other variances to address.   The AvA is signed off by the reviewer, either the Corporate Controller or VP of Finance.</t>
  </si>
  <si>
    <t>Q1 2019</t>
  </si>
  <si>
    <t>Corporate Controller/
VP Finance</t>
  </si>
  <si>
    <t>FCR 5.11</t>
  </si>
  <si>
    <t>Transactions that do not occur in the Company’s normal course of business are considered unusual or non-routine transactions.  When a transaction has been identified as a material and unusual or non-routine transaction, a memo is prepared by the External Consultant, or the Senior Manager, SEC &amp; SOX or designate. The memo documents the nature of the transaction and the prescribed accounting treatment. Upon completion of the memo, it is reviewed and approved by the Corporate Controller, as evidenced by sign off and date.  The review is inclusive of the accounting treatment associated with the transaction, as well as the related tax and any possible specific cash flow and/or related party consideration that must be given to the transaction.</t>
  </si>
  <si>
    <t>FCR 5.12</t>
  </si>
  <si>
    <t>Monthly, accounting periods in QAD are locked after the month-end close is completed. Access to unlock closed periods in QAD is limited to the Accounting Manager.</t>
  </si>
  <si>
    <t>Accounting Manager</t>
  </si>
  <si>
    <t>FCR 5.13</t>
  </si>
  <si>
    <r>
      <t xml:space="preserve">The Senior Analyst, SEC &amp; SOX, Senior Manager, SEC &amp; SOX and the Corporate Controller meet with various parties, including the CFO, COO, Materials, HR, and Finance to discuss subsequent events.  Subsequent events are discussed in the quarterly Disclosure Committee meetings.  </t>
    </r>
    <r>
      <rPr>
        <i/>
        <sz val="10"/>
        <rFont val="Arial"/>
        <family val="2"/>
      </rPr>
      <t>Refer to section ELC 1.00 for the key control over the Disclosure Committee.</t>
    </r>
  </si>
  <si>
    <t>ELC 1.22</t>
  </si>
  <si>
    <t>Quarterly, Disclosure Committee invitations are sent out to the committee by the Senior Manager, SEC &amp; SOX or designate. The meeting discussion includes, but is not limited to, reviewing material contracts either in process or finalized, unusual activity, threatened or pending litigation, external factors, known or suspected fraud, subsequent events. The Disclosure Committee meets to review the outlined topics and the external financial filings for completeness and accuracy and to ensure completeness in regards to significant disclosures.  Email is used for follow up on an as needed basis.  The meeting and review is evidenced by meeting invites.</t>
  </si>
  <si>
    <t>Preparation</t>
  </si>
  <si>
    <t>FCR 6.01</t>
  </si>
  <si>
    <t>The Accounting Manager informs the Senior Analyst, SEC &amp; SOX and/or Senior Manager, SEC &amp; SOX when the trial balance and flux analysis are complete and the reporting process can begin. Finance prepares the financial statements (10Q/10K) along with the supporting schedules. All supporting schedules for the 10Q/10K preparation is saved to the External Reporting folder, which is restricted to only the Corporate Controller, Senior Manager, SEC &amp; SOX, and Senior Analyst, SEC &amp; SOX.</t>
  </si>
  <si>
    <t>FCR 6.02</t>
  </si>
  <si>
    <t>The Senior Manager, SEC &amp; SOX or designate updates the Reporting Calendar, as needed for each reporting period and uses the calendar to track the progress of the financial statement preparation against the filing deadlines.</t>
  </si>
  <si>
    <t>FCR 6.03</t>
  </si>
  <si>
    <t xml:space="preserve">Quarterly, the Reporting Calendar is reviewed and approved by the Corporate Controller to ensure all filings are in compliance with SEC requirements. When applicable, review and approval by Legal may be obtained as well. </t>
  </si>
  <si>
    <t>Corporate Controller/
Legal</t>
  </si>
  <si>
    <t>FCR 6.04</t>
  </si>
  <si>
    <t>Before preparing the quarter end 10Q schedules, the Senior Analyst SEC &amp; SOX or Senior Manager, SEC &amp; SOX, who does not have access to either post journal entries or re-open accounting periods, validates the beginning balance to ensure no unauthorized changes were made to the prior period's financials data.  The ending balance of prior quarter in the prior 10Q file is compared to the beginning per QAD.  Any differences are followed up on.  The review is evidenced by sign off and date of the tab containing the tie out.</t>
  </si>
  <si>
    <t>FCR 6.05</t>
  </si>
  <si>
    <t xml:space="preserve">At each quarter end the Senior Analyst SEC &amp; SOX or Senior Manager SEC &amp; SOX generates the trial balance, P&amp;L, and Balance Sheet in QAD.  The balance sheet is agreed to manual recalculation of account roll up per the trial balance and the P&amp;L is agreed to manual recalculation of general ledger account balance by R&amp;D, S&amp;M, and G&amp;A departments.  The financial statements and trial balance are sent to the Corporate Controller for review and approval. </t>
  </si>
  <si>
    <t>FCR 6.06</t>
  </si>
  <si>
    <t>Quarterly, the Senior Manager, SEC &amp; SOX or Senior Analyst, SEC &amp; SOX prepares the Consolidated Cash Flow Statement in an Excel spreadsheet based on the details in the Trial Balance.</t>
  </si>
  <si>
    <t>FCR 6.07</t>
  </si>
  <si>
    <t>Quarterly, the Corporate Controller performs a final review and approval of the Cash Flow Statement to ensure the activities are in line with expectations.</t>
  </si>
  <si>
    <t>Disclosures</t>
  </si>
  <si>
    <t>FCR 6.08</t>
  </si>
  <si>
    <t xml:space="preserve">Finance ensures the completeness of disclosures through completion of the GAAP Disclosure Checklist with new FASB standards and SEC publications relevant to the Company.  The checklist is prepared by the Senior Analyst, SEC &amp; SOX. </t>
  </si>
  <si>
    <t>FCR 6.09</t>
  </si>
  <si>
    <t>Quarterly, the completed GAAP Disclosure Checklist is reviewed by Senior Manager SEC &amp; SOX and Corporate Controller to ensure the disclosures are complete.  The GAAP Disclosure Checklist is reviewed against the Draft Form 10Q/10K to verify the completeness of the disclosures.  The review also includes ensuring all new relevant accounting pronouncements have been incorporated and that all significant transactions have been properly disclosed.  Review and approval is evidenced by email.</t>
  </si>
  <si>
    <t>Senior Manager SEC &amp; SOX/ Corporate
Controller</t>
  </si>
  <si>
    <t>FCR 6.10</t>
  </si>
  <si>
    <t>Quarterly, the Senior Analyst, SEC &amp; SOX or designate performs the detailed tie-out to ensure that the financial statements agree to the supporting schedules.  Any findings are resolved prior to submitting the financial statements and tie out to the Corporate Controller for final review.</t>
  </si>
  <si>
    <t>FCR 6.11</t>
  </si>
  <si>
    <t>Quarterly, the Senior Manager, SEC &amp; SOX reviews and approves the tied out 10Q/10K before it is included in the relevant SEC filings.  Review includes verifying the tie-out was completed and accurate specific to all financial statements, footnotes, significant transactions, and related MD&amp;A items.  Prior version(s) of the 10Q/10K drafts, including review comments, are saved as evidence of review.</t>
  </si>
  <si>
    <t>Management Final Review</t>
  </si>
  <si>
    <t>FCR 6.12</t>
  </si>
  <si>
    <r>
      <t xml:space="preserve">Quarterly, the Disclosure Committee meets to review the financial statements for reasonableness and validity of disclosures.  </t>
    </r>
    <r>
      <rPr>
        <i/>
        <sz val="10"/>
        <color theme="1"/>
        <rFont val="Arial"/>
        <family val="2"/>
      </rPr>
      <t>Refer to section ELC 1.00 for the key control over the Disclosure Committee.</t>
    </r>
  </si>
  <si>
    <t>FCR 6.13</t>
  </si>
  <si>
    <r>
      <t xml:space="preserve">Quarterly, the CFO and CEO review the 10Q/10K. The approval by the CEO and CFO is evidenced by the sign-off on the 10Q/10K and the 302 and 906 certifications. </t>
    </r>
    <r>
      <rPr>
        <i/>
        <sz val="10"/>
        <color theme="1"/>
        <rFont val="Arial"/>
        <family val="2"/>
      </rPr>
      <t xml:space="preserve">Refer to section ELC 1.00 for the key control over the CEO and CFO certifications.  </t>
    </r>
  </si>
  <si>
    <t>ELC 1.06</t>
  </si>
  <si>
    <t>CEO/CFO</t>
  </si>
  <si>
    <t>FCR 6.14</t>
  </si>
  <si>
    <r>
      <t xml:space="preserve">The Financial Statements (10Q/10K) are emailed to the Legal and the Audit Committee for review and comments. The Senior Analyst, SEC &amp; SOX or Senior Manager, SEC &amp; SOX updates the Financial Statements based on Audit Committee and Legal comments. </t>
    </r>
    <r>
      <rPr>
        <i/>
        <sz val="10"/>
        <rFont val="Arial"/>
        <family val="2"/>
      </rPr>
      <t>Refer to section ELC 5.00 for key control over the Audit Committee's review of the financial statements.</t>
    </r>
  </si>
  <si>
    <t>ELC 5.01</t>
  </si>
  <si>
    <t xml:space="preserve">Quarterly and annual financial results are reviewed by the Audit Committee during Audit Committee meetings prior to the result release and prior to the filing of the 10-Q/K.  In addition, the Audit Committee has oversight over the development and performance of internal control. As needed, management updates the Audit Committee on the Company's SOX Compliance Program. </t>
  </si>
  <si>
    <t>Audit Committee</t>
  </si>
  <si>
    <t>FCR 7.01</t>
  </si>
  <si>
    <r>
      <t xml:space="preserve">Access to both the general ledger and the finance shared drive require approval by either the Corporate Controller or the CFO.  All access requests, included type of access needed, are submitted via email prior to granting access.  </t>
    </r>
    <r>
      <rPr>
        <i/>
        <sz val="10"/>
        <rFont val="Arial"/>
        <family val="2"/>
      </rPr>
      <t>Refer to ITGC for the process and key controls over access and the SOC I Report review.</t>
    </r>
  </si>
  <si>
    <t>Testing Period</t>
  </si>
  <si>
    <t>1/1/19 - 6/30/19</t>
  </si>
  <si>
    <t>Risk Control Matrix (RCM)</t>
  </si>
  <si>
    <t>Population: Transactional</t>
  </si>
  <si>
    <t>Sample Size</t>
  </si>
  <si>
    <t>Annual sample size:</t>
  </si>
  <si>
    <t>(See sample size derivation below)</t>
  </si>
  <si>
    <t>Financial Statement Assertions</t>
  </si>
  <si>
    <t>Testing Results</t>
  </si>
  <si>
    <t>Population &amp; Sample Size</t>
  </si>
  <si>
    <t xml:space="preserve">Process                                                                                                                                                                                                                                                                                                                                                                </t>
  </si>
  <si>
    <t>Sub-process</t>
  </si>
  <si>
    <t>Financial
Statement
Elements</t>
  </si>
  <si>
    <t>Specific Risk</t>
  </si>
  <si>
    <t>Completeness &amp; Accuracy</t>
  </si>
  <si>
    <t>Existence &amp; Occurrence</t>
  </si>
  <si>
    <t>Presentation &amp; Disclosure</t>
  </si>
  <si>
    <t>Rights &amp; Obligations</t>
  </si>
  <si>
    <t>Valuation &amp; Allocation</t>
  </si>
  <si>
    <t>Control
ID</t>
  </si>
  <si>
    <t>Control Activity</t>
  </si>
  <si>
    <t>Control
Owner</t>
  </si>
  <si>
    <t>Control 
Frequency</t>
  </si>
  <si>
    <t>Key/
Non-Key</t>
  </si>
  <si>
    <t>Control Type</t>
  </si>
  <si>
    <t xml:space="preserve">Nature of Procedure </t>
  </si>
  <si>
    <t>Fraud
Control</t>
  </si>
  <si>
    <t>Risk Level</t>
  </si>
  <si>
    <t>Management Review Control</t>
  </si>
  <si>
    <t>Testing Procedure</t>
  </si>
  <si>
    <t>Walkthrough Assessment</t>
  </si>
  <si>
    <t>Test Results - Round 1
(Q1 &amp; Q2)</t>
  </si>
  <si>
    <t>Test Results - Round 2
(Q3)</t>
  </si>
  <si>
    <t>Test Results - Round 3
(Q4)</t>
  </si>
  <si>
    <t>Actual Population Year to Date</t>
  </si>
  <si>
    <t>Annualized Population</t>
  </si>
  <si>
    <t>Annualized Sample Size</t>
  </si>
  <si>
    <t>R1</t>
  </si>
  <si>
    <t>R2</t>
  </si>
  <si>
    <t>R3</t>
  </si>
  <si>
    <t>FCR</t>
  </si>
  <si>
    <t>Unauthorized or fraudulent GL accounts can be created, leading to the misappropriation of assets</t>
  </si>
  <si>
    <t>a</t>
  </si>
  <si>
    <t>Transactional</t>
  </si>
  <si>
    <t>Key</t>
  </si>
  <si>
    <t>Preventative-Manual</t>
  </si>
  <si>
    <t>Inspection</t>
  </si>
  <si>
    <t>Yes</t>
  </si>
  <si>
    <t xml:space="preserve">Medium </t>
  </si>
  <si>
    <t>No</t>
  </si>
  <si>
    <t>1. Obtain a QAD listing of COA changes during the testing period and make a sample selection.
2. Verify the Corporate Controller reviewed and approved the addition/change against supporting documentation or reasons for change prior to the setup.
3. Verify COA setup agrees back to what was approved by the Controller.</t>
  </si>
  <si>
    <t xml:space="preserve">Journal entries may be inaccurate or not have the proper support.
</t>
  </si>
  <si>
    <t>High</t>
  </si>
  <si>
    <t>1. Obtain a system generated list of manual journal entries from QAD and make a sample selection.
2. Review the journal entry in QAD against the supporting documentation to ensure that they agree
3. Ensure any underlying schedules agree to support
4. If applicable ensure the JE support is free of clerical error.
5. Verify there is evidence that someone other than the preparer reviewed and approved the journal entry.</t>
  </si>
  <si>
    <t>365+</t>
  </si>
  <si>
    <t xml:space="preserve">Journal entries may be unbalanced,  reference a closed accounting period, or contain inactive or invalid general ledger accounts. 
Journal entries may be changed without proper authorization. </t>
  </si>
  <si>
    <t>Application</t>
  </si>
  <si>
    <t>Non-Key</t>
  </si>
  <si>
    <t>Preventative-System</t>
  </si>
  <si>
    <t>N/A - Non-key</t>
  </si>
  <si>
    <t>Journal entries may be inaccurate.
Fraudulent activity or errors are made.</t>
  </si>
  <si>
    <t>Monthly</t>
  </si>
  <si>
    <t>Detective-Manual</t>
  </si>
  <si>
    <t>1. Obtain the QAD JE Listing for the selected period
2. Verify that that no JEs were reviewed and approved by the same person
3. Verify the approvers are appropriate based on role.
4. Ascertain that there were no system admin creates of  system entries within QAD General Ledger Transaction Extended View
5. Confirm the Controller reviewed and approved both the JE listing and the system admin entries timely.</t>
  </si>
  <si>
    <t>Transactions may not be recorded completely and accurately.
Accruals and expenses are underestimated or over stated.</t>
  </si>
  <si>
    <t>Quarterly</t>
  </si>
  <si>
    <t>1. Obtain the final non-materials Accrualify Unmatched invoice listing test for the testing period.
2. Verify that the Senior Accountant performed the testing to the specified sample size.
3. Any variances noted.</t>
  </si>
  <si>
    <t>1. Obtain the final non-materials accrual JE, AP Aging and accrual supporting documents for the selected period.
2. Ensure the accruals are supported / explained
3. Review follow up and notes to ensure it was captured in the accrual
4. Verify evidence of review and approval by the Accounting Manager or delegate.</t>
  </si>
  <si>
    <t>1.Obtain the subsequent invoice log for the period selected and relevant JE's.
2. Verify the review was performed by the Corporate Controller and that a decision was made for each invoice that impacts the reporting period.
3. Ascertain that the invoices listed on the log were not included on the Accrual FCR 3.08
4. Agree the accrual JE(s) to the subsequent invoice log to ensure completeness of the accruals.</t>
  </si>
  <si>
    <t>Balance sheet accounts are not reconciled.
Reports, reconciliations and general ledger activity is not reviewed by the appropriate level of management.
Fraudulent activity or errors are not caught in a timely manner</t>
  </si>
  <si>
    <t>1. Obtain the Trial Balance listing all accounts to be reconciled and select a sample of balance sheet account reconciliations, along with supporting documentation and evidence of review.
2. Review the reconciliation to ensure that it agrees to the supporting documentation and GL.
3. Verify the clerical accuracy of the reconciliation.
4.  Verify the review and approval were properly evidenced.
5. Ensure all reconciling items exceeding control threshold were investigated and explained.</t>
  </si>
  <si>
    <t>Balance sheet accounts are not reconciled.</t>
  </si>
  <si>
    <t>1. Obtain the monthly review of the TB against the reconciliations.
2. Review to ensure that all the trial balance accounts were reconciled.
3. Verify there is evidence of review and sign off by the Controller on the final trial balance.</t>
  </si>
  <si>
    <t>External reporting may be incorrect and balances or disclosures may be misstated.</t>
  </si>
  <si>
    <t>N/A - Nonkey</t>
  </si>
  <si>
    <t>1. Obtain the operating expense allocation JE and support for the testing period.
2. Review the journal entry documentation to ensure that the JE Form, QAD JE, and support all agree and allocated expenses were properly supported.
3. Ensure the calculation of allocated expenses is free of clerical error.
4. Verify there is evidence that the Controller reviewed and approved the journal entry.</t>
  </si>
  <si>
    <t>Material variances may go undetected or explained.</t>
  </si>
  <si>
    <t xml:space="preserve">1. Obtain the AvA fluctuation analysis for the testing period
2. Verify that explanations were provided to the variances exceeding the threshold and properly followed up
3. Verify evidence of review by the Controller or VP of Finance. </t>
  </si>
  <si>
    <t>Complex transactions may not be properly accounted for.</t>
  </si>
  <si>
    <t>1. Inquire with Senior Director of Accounting &amp; Extremal Reporting about any non-routine transactions during the period,
2. Obtain memo's for non routine transactions,
3. Ensure accounting guidance referred to in the memo is appropriate
4. Verify review and approval by the Corporate Controller</t>
  </si>
  <si>
    <t>Unauthorized or fraudulent transactions can be created, leading to the misappropriation of assets</t>
  </si>
  <si>
    <t>Observation</t>
  </si>
  <si>
    <t>1. Obtain the10Q/10K schedule workbook, containing the validation of the beginning balance
2.  Ascertain the beginning balance agrees to the prior 10Q or 10K
3. Review the prior period's schedule to ensure the tie out was performed.
4.  Validate there was no changes made to the prior periods financial data
5. Ensure sign off by the Senior Manager SEC &amp; SOX</t>
  </si>
  <si>
    <t>1. Obtain the quarterly cash flow statement.
2. Agree the cash flow statement to supporting schedules.
3. Spot check the statement for clerical accuracy.
4. Ensure the review and approval by the Controller is properly evidenced.</t>
  </si>
  <si>
    <t>1. Obtain the completed quarterly Disclosure Checklist.
2. Review the checklist to ensure completeness. 
3. Spot check some disclosures and verify that each ties back to the 10Q/10K.
4. Ensure the checklist is reviewed  by Senior Manager, SEC &amp; SOX and Controller</t>
  </si>
  <si>
    <t>1. Obtain the tied-out financial statements and footnote disclosures from Tie-Out Binder 
2. Review the financial statements and footnote disclosures to verify that evidence exists via tick marks and references to support that all financial information has been tied out and referenced to supporting documentation. 
3. Select some F/S account, footnote disclosure and ensure each ties back to the supporting documentation.
4. Verify evidence of review and approval via signoff by the Senior Manager, SEC &amp; SOX.</t>
  </si>
  <si>
    <t>Walkthrough (WT)</t>
  </si>
  <si>
    <t>Control In Place Date</t>
  </si>
  <si>
    <t>Control Frequency</t>
  </si>
  <si>
    <t>Key/Non-Key</t>
  </si>
  <si>
    <t>Procedure</t>
  </si>
  <si>
    <t>Walkthrough Performed By / Date Performed</t>
  </si>
  <si>
    <r>
      <t xml:space="preserve">Source Files </t>
    </r>
    <r>
      <rPr>
        <i/>
        <sz val="10"/>
        <color theme="1"/>
        <rFont val="Arial"/>
        <family val="2"/>
      </rPr>
      <t>(document name, hardcopy/softcopy &amp; provided by)</t>
    </r>
  </si>
  <si>
    <t>Comments / Results</t>
  </si>
  <si>
    <t>Design Assessment</t>
  </si>
  <si>
    <t>Rocel Dooc
06/11/19</t>
  </si>
  <si>
    <t xml:space="preserve">All softcopies provided by Katherine Nguyen, Accounting Manager
FCR 1.02:
1. FCR 1.02 - Chart of Accounts - Copy
2. Right of use assess approval email
</t>
  </si>
  <si>
    <t>1. Inspected the QAD listing of COA changes for Q1 2019.  Selected the new account #19700 "Right of Use Asset" as Walkthrough sample. Per the walkthrough meeting, Katherine Nguyen  (Accounting Manager) explained the modification date of IS accounts was determined in the Chart of Accounts (COA) listing per the GL analysis set on date while the new BS accounts were identified by comparing trial balances dated 03.31.19 and 12.31.18 and performing vlookup.   
2. Evidenced that Cassie Mahar (Controller) emailed all details about the new lease guidance to adopt to Katherine Nguyen (Accounting Manager) and Uy Lam (Senior Accountant) on 2/7/2019.  Noted the GL account was created per the new lease guidance.
3. Verified that the new account 19700 Right of Use Asset agreed to the instructions of Cassie Mahar (Controller).  
No exception noted.</t>
  </si>
  <si>
    <t>Effective</t>
  </si>
  <si>
    <t xml:space="preserve">All softcopies provided by Katherine Nguyen, Accounting Manager
FCR 2.05:
1. Copy of FCR 2.05 JE Listing Q1 2019
2. JE 359 - Prepaid Expenses - 3.31.19
3. FCR 2.05 JE Listing Q1 2019 - Copy
4. RE EXTERNAL RE EXTERNAL RE A2Q2 Walkthrough PBC Review Meeting Scheduling week of May 20th
</t>
  </si>
  <si>
    <t xml:space="preserve">1. Inspected the QAD journal entry listing from 1/1/19 to 3/31/19 during Walkthrough meeting.  The Prepaid Expense Amortization was selected as the testing sample. 
2. QAD JE #359, including the approval and the supporting schedule was obtained for testing.
3.  The total JE amount of $253K was agreed to supporting schedule (see "Prepaid Schedule 2019" to ensure the completeness of the journal entry.  To validate the accuracy of the expense amortized and the prepaid additions for the period, four invoices (Boundary Systems - b4872a, Integrated Engineering Software - BEM5980, Meltwater - IN-s151-483408, and Group Delphi - 54907) were randomly sub-selected from the schedule and agreed back to the supporting invoices as follows
(a) the prepaid additions agreed to the sampled invoices, validating the invoice total agreed to debit per the schedule and the addition month agreed to the invoice date
(b) the amortization period and number of months amortized agreed to service period noted on each respective invoice; noting two errors on the amortization period per the schedule, which is not an exception since the number months was correct (used in the amortization calculation)
(c) the expense accounts were reasonable given the description per each invoice
(d) the amortization formulas were noted to be clerically accurate and based on the details tested above 
4.  Verified that total prepaid amortization for March 2019 was properly calculated, ensuring the clerical accuracy of JE. 
5. Verified the JE was created by Jennifer Nguyen (GL Accountant) and approved via system sign off by Katherine Nguyen, Accounting Manager on 04/12/2019.  During the walkthrough meeting, A2Q2 selected the payroll JE to explain the Verified on Date. </t>
  </si>
  <si>
    <t xml:space="preserve">All softcopies provided by Cassie Mahar, Controller
FCR 2.09:
1. FCR 2.09 JET and JE approval log 4.12.19
2. FCR 2.09 JET and JE approval log 4.18.19
3. FCR 2.09-JET and JE approval log 4.23.19
4. FCR 2.09- JET and JE approval log 5.6.19
5. FCR 2.09- email approval of last entry
</t>
  </si>
  <si>
    <t>1. Inspected the QAD final reviewed JE listing for March 2019, noting Cassie Maher (Corporate Controller) reviewed various versions throughout the March month end close.
2. Verified that creators of JEs are different from the approvers.
3. Verified approvers Katherine Nguyen (Accounting Manager), Cassie Mahar (Corporate Controller), Kevin Brown (Director, Cost Accounting) are appropriate based on their roles.
4. Confirmed creators are jnguyen, tdoan, kjia, ulam, ptran, dhua.  The May extended entry listing will be tested in August during the round 1 testing.
5. Confirmed Cassie Mahar, Controller reviewed and approved the 4 versions of the QAD Journal Entry listing as of the sign off date on 04/12, 04/18, 04/23 and 05/06 by signing off on JE listing pdf.
The system superuser entries review is effective as of May 2019, and the testing will be completed in the next round.</t>
  </si>
  <si>
    <t>Lynne May
8/30/19</t>
  </si>
  <si>
    <t>N/A</t>
  </si>
  <si>
    <t>The control is to be implemented in Q3 2019. Thus, the walkthrough will be performed in round 2 (November 2019).</t>
  </si>
  <si>
    <t>Inconclusive (Not in Place)</t>
  </si>
  <si>
    <t>Rocel Dooc
06/23/19</t>
  </si>
  <si>
    <t xml:space="preserve">All softcopies provided by Katherine Nguyen, Accounting Manager
1. FCR 2.05 JE Listing Q1 2019 - Copy
2. FCR 3.08 - JE 392 (JET 367) Accounting, Consulting &amp; Legal Accrual 3.31.19 (Reversing JE)
3. FCR 3.08 - Non-materials accrual journal entries - Copy
4. Pillsbury folder
5. Gibson folder
6. Randstad folder
7. 20100 Accrued Liabilities - 3.31.19 including AJE
8. RE   EXTERNAL  FCR 3 08 (non-materials
</t>
  </si>
  <si>
    <t xml:space="preserve">1. Obtained the JE listing for Q1'19 and verified that appropriate report parameters were used. Selected GL account 20100 Accrued Expenses with ending balance of $9.7M (March'19), as Walkthrough sample. Inspected the JE and randomly selected 3 accruals for Randstad (Doris Hua, Thu Phung), Gibson, Dunn &amp; Crutcher LLP and Pillsbury. \
2. IA obtained accrual JE 392 (JET 367) and JE 390 (JET 364) for 03/31/19 and reviewed sub-selected accruals against invoices, confirming as follow:
  -Randstad (Doris Hua, Thu Phung) agreed to invoice RP1764035 of $5,165.81.
  -Gibson, Dunn &amp; Crutcher LLP accrual of $78,792.61  did not agree with total invoices of $78,539.11. There is a variance of $253.50  Per inquiry with Katherine Nguyen (Accounting Manager), the accrued amount was based on an estimate. Once the invoices were received, the difference between the actual invoices and the accrued amount was considered immaterial so no adjustment was made.
  - Pillsbury accrual per the schedule did not tie to the supporting email leaving a variance of $43K.  Per Katherine a subsequent adjustment was made. Per the final accrual recon with adjustments, the correct amount was included in the accrual recon, noting the that final accrued expensed total of $9.7M agreed to the TB screen shot, thus evidencing this amount was adjusted.  The final recon - "20100 Accrued Liabilities - 3.31.19 including AJE" - was signed off by Cassie Mahar, Controller on 05/14/19.
(see "FCR 3.08 - JE 392 (JET 367) Accounting, Consulting &amp; Legal Accrual 3.31.19 (Reversing JE)" tab "Accrued Expense 2019 v2" for testing details)
3. Reviewed comments in the Accrued Expense 2019 and noted that invoices were referenced as notes for accrual.  For Pillsbury, they didn't update the comment, but the amount was updated in the accrual workbook.
4.  Verified evidence of review and approval by Katherine Nguyen, Accounting Manager by signing off on system accrual JEs on 04/12/19. </t>
  </si>
  <si>
    <t>Rocel Dooc
6/12/2019</t>
  </si>
  <si>
    <t xml:space="preserve">All softcopies provided by Katherine Nguyen, Accounting Manager
FCR 3.11
1. FW Invoice list
2. FCR 3.11 Subsequent Invoice list Q1 2019 - Copy
3. FCR 3.08 - JE 392 (JET 367) Accounting, Consulting &amp; Legal Accrual 3.31.19 (Reversing JE)
Edgar Search 10Q filing, softcopy obtained online by A2Q2
</t>
  </si>
  <si>
    <t xml:space="preserve">1. Obtained file for quarterly review of Subsequent Invoice Log to be recorded in Q2'19.
2. Per Subsequent Invoice Log, there were vendor invoices with total amount of $128K.  The Company determined to pass as the total was deemed immaterial by Cassie Mahar (Corporate Controller) per email dated 5/02/2019 - prior to the Q1 10Q filing date 05/03/2019. 
3. Invoices per the accrual schedule in PTP 3.08 was spot checked against the subsequent invoice log.  Ascertained that the invoices listed on the log were not included on the Accrual FCR 3.08.
4. Given the determination in step 2,there is no additional accrual booked related to the said invoices. </t>
  </si>
  <si>
    <t xml:space="preserve">All softcopies provided by Katherine Nguyen, Accounting Manager
FCR 4.02:
1. FCR 4.02 Reconciliations - 13100 - Prepaid Expenses Mar 2019 - Copy
2. FCR 4.02 Reconciliations - 13100 - Prepaid Expenses Mar 2019 - Supporting Documents - Copy
3. FCR 4.04-TB tie-out to B.S. recs 3.31.19
</t>
  </si>
  <si>
    <t>1. Obtained the Trial Balance as of 03/31/2019 listing all accounts to be reconciled. Selected the account #13100 Prepaid expenses as the testing sample. 
2. Reviewed the reconciliation and agreed the Prepaid Expenses ending balance as of 03/31/2019 of $1.6M to TB 3.31.19.
3. Verified clerical accuracy of the reconciliation by reviewing formulas and agreeing selected invoices to supporting documentation.  Refer to the testing in FCR 2.05 for additional validation of the period's prepaid expense activity.
4. Verified the reconciliation was prepared by Jennifer Nguyen (GL Accountant) and reviewed by Cassie Mahar (Corporate Controller) on 04/10/19 via sign off on the reconciliation.  Cassies review steps, including pulling the TB and tying it to GL, spot checking new March prepaids to invoices, and spot checking calculations, was also documented on the review tab to evidence her review.  
5. Noted there were no reconciling items.  
No exceptions were noted.</t>
  </si>
  <si>
    <t xml:space="preserve">All softcopies provided by Cassie Mahar, Corporate Controller
FCR 4.04:
FCR 4.04-TB tie-out to B.S. recs 3.31.19
</t>
  </si>
  <si>
    <t>1. Inspected the TB tie-out to B.S. reconciliations for 3.31.19.
2. Reviewed the TB tie-out to B.S. reconciliations for 3.31.19 and noted various markings on the trial balance B/S lines to confirm the completion of each reconciliation with a balance greater than 0.  Any account with a zero balance was marked "N/A" unless the prior period had a balance, which were checked as any other account to see why the balance changed to 0.  All accounts were noted to be properly checked off.
3. Verified Cassie Mahar (Corporate Controller) reviewed the TB tie-out to B.S reconciliations on 04/19/19 via sign off.</t>
  </si>
  <si>
    <t xml:space="preserve">All softcopies provided by Katherine Nguyen, Accounting Manager
1. FCR 5.05 - JE 416 (JET 393) - Facility Allocation - 3.31.19 - Copy
</t>
  </si>
  <si>
    <t>1. Obtained the QAD Operating Expenses Allocation JE booked for March 2019. JE 416 (JET 393) amount is $ 586,953.09 for Q1 Facility Allocation.  
2.  Reviewed and agreed the system JE to the allocation workbook. Noted the support included the expenses for GL accounts 61900 "Internet services", 62900 "Facility expense - other", 62910 "Rent", 62920 "Utilities" and 64100 "Telephone" for both entities: California (CA) and Ohio (OH). 
3. Recalculated the total expenses for California to ensure mathematical accuracy.  Noted the total expenses were calculated based on percentages assigned to G&amp;A, R&amp;D and S&amp;M by Finance.
4.  Evidenced the JE was prepared by Katherine Nguyen, Accounting Manager  and properly approved by Cassie Mahar, Controller on 4/12/2019 via system sign off.</t>
  </si>
  <si>
    <t xml:space="preserve">All softcopies provided by Cassie Mahar, Controller
FCR 5.010
1. FCR 5.10 approval Q1 19
2. FCR 5.10-Balance Sheet and P&amp;L flux 3.31.19
</t>
  </si>
  <si>
    <t>1. Obtained the AvA fluctuation analysis for Q1 2019.
2. Inspected the AvA flux analysis for Balance Sheet Q1 19 v Q4 18, IS Q1 19 v Q4 18 and IS Q1 19 v Q1 18.  Verified formula accuracy on the calculation of variances and noted that explanations were provided to variances greater than 5% and $100k.
3. Evidenced the fluctuation analysis was prepared by Cassie Mahar (Corporate Controller)  and properly reviewed and approved by Brian Knaley (VP Finance) and Ajay Bansal (CFO) as evidence by emails on 04/18/2019.  Additionally noted Brian has a review comment per the email, thus further evidencing his review.  Per the WT meeting with Brian, his review includes looking at Balance Sheet, P&amp;L and Cash Flow movements.  
a) P&amp;L- He breaks the Revenue down to items and see how many systems that they were able to do.  For Opex, he checks if they have increased year over year or if there are fees that pop up.  In review of the gross margin he looks at write off which is related to some inventory items that were coming out of storage and getting installed.
b) Balance Sheet - He checks on key areas such as AP, AR, Inventory and Working Capital.
c) Cash Flow - He reviews cash as he looks at P&amp;L and Balance Sheet.
Recommendation: The reviewers need to add more comments and/or email notes to evidence the review that was carried out, given the level of judgeme
nt used to perform this control.</t>
  </si>
  <si>
    <t>Cheila Garcia
6/27/19 &amp; 8/1/19</t>
  </si>
  <si>
    <t>All softcopies provided by Dale Matsuda, Senior Analyst SEC &amp; SOX
1. ASC 842 Adoption Memo-signed
2. 04 Spreadsheet Operating Lease Analysis (DRAFT) updated</t>
  </si>
  <si>
    <t xml:space="preserve">1. Inquired with Dale Matsuda (Senior Analyst SEC &amp; SOX) and confirmed there was only one non-routine memo in Q1 and Q2 2019 i.e. the memo over Adoption of ASC 842 and related accounting. 
2. Obtained the memo over Adoption of ASC 842 and related accounting, prepared by Dale Matsuda (Senior Analyst SEC &amp; SOX) and supporting documents. Inspected the memo, which concluded as follow:
- The Effective Date Method to transition to Topic 842 was elected for applying to the new standard,
- The Hindsight Practical Expedient will be not applied due to any added benefit of applying it will be minimal and outweighed by the costs. Also, the ASC 842-10-65-1(gg) is not required due to Company does not have any land easements,
- Elected to forego further evaluation of the contracts for lease accounting due to materiality,
- There are no assets explicitly or implicitly specified that could be the subject of a lease,
- The discount rate of 7.7% to be used in measuring the initial right-of-use asset and lease liability upon the adoption of ASC 842,
- Company will continue to measure the lease liability as the sum of the remaining lease payments, The right-of-use asset will be amortized as the difference between the straight-line expense and the interest component of the lease liability.
To verify accuracy of the memo, IA spot checked two line items per memo and agreed them back to the operation lease analysis workbook (see file "04 Spreadsheet Operating Lease Analysis (DRAFT) updated"), as follow:
a) Detailed calculation of JE entered in 01/01/19 to recognize the initial right-of-use and the initial lease liability upon adoption of ASC 842 per memo and agreed the amounts ($12K Dr. Right of Use Asset, $613 Dr. Deferred Rent Liability, $13K Cr. Lease Liability),
b) Interest rate of 7.7% used for calculations.
3. Confirmed that accounting guidance used in the memo was appropriate for the context of the analysis, i.e. ASC 842, Leases (February 2016)
4. Verified the memo was reviewed and approved by Cassie Mahar (Corporate Controller) and Brian Knaley (VP of Finance) on 02/14/19 and 02/17/19 respectively.
No exception noted. </t>
  </si>
  <si>
    <t xml:space="preserve">Rocel Dooc
06/25/19
</t>
  </si>
  <si>
    <t xml:space="preserve">All softcopies provided by Dale Matsuda, Senior Analyst SEC &amp; SOX
1. SOX FCR 6.04 - Q1 2019_opening BS recon
2. Edgar 10-K obtained by A2Q2 online
</t>
  </si>
  <si>
    <t>1.  Q1 2019 Opening BS reconciliation was obtained containing the validation of the beginning balance.  Per the noted in the recon, Minah Lee (consultant - SEC &amp; SOX) ran the TB from QAD on Apr 13, 2019.
2. A2Q2 sub-selected samples within the Minah's opening balance reconciliation and agreed the selections to the 12/31/18 10-K w/o/e, ensuring no changes were made to the prior period's financial data.  The formulas linked to the 12/31/18 TB were also checked to validate the opening TB run from QAD was properly rolled up in the performance of this control.  The same samples were agreed to the 3/31/19 10Q w/o/e, validating the prior periods balances were properly reported in the current period.
-Cash and cash equivalents $167,432.00
-Inventory $49,462.00
-Customer Deposits ($19,968.00)
-LT debt, net of current portion ($55,364.00)
-Additional paid-in capital ($565,334.00)
-Accumulated deficit ($398,977)
-Net loss ($76,396.00)
3. A2Q2 reviewed the Q1 2019 Opening BS reconciliation and verified that tie out of Opening BS balances against 10-K balances was performed, as evidence by Minah's comments and tie out in the reconciliation.
4. Verified the results of validation were concluded as follows:
(a) Two accounts (59410 and 59420) had issues and were corrected in the final TB on 04/18/19.
(b) No further issues noted nor follow-up items.
5.  Minah Lee, Interim SEC Manager signed off on the reconciliation as completed on 04/29/2019.</t>
  </si>
  <si>
    <t>Rocel Dooc
7/1/2019</t>
  </si>
  <si>
    <t xml:space="preserve">All softcopies provided by Dale Matsuda (Senior Analyst SEC &amp;SOX)
1. FCR 6.06- 1 SCF Q1 2019
2. SOX FCR 6.06 ESA 4.06 Stock Comp Exp_March 19_QTD (1)
All softcopies obtained by A2Q2 online
3. Edgar 10-K
4. Edgar_10-Q
</t>
  </si>
  <si>
    <r>
      <t xml:space="preserve">1. Obtained the quarterly cash flow statement as of 3/31/19 as well as final 10-K 2018 and 10-Q 2019 filed in SEC.
</t>
    </r>
    <r>
      <rPr>
        <sz val="11"/>
        <rFont val="Arial"/>
        <family val="2"/>
      </rPr>
      <t xml:space="preserve">
2. Inspected the Cash Flow Statement. Noted that Net Loss of ($33M) agreed to the Income Statement of 10Q and P&amp;L</t>
    </r>
    <r>
      <rPr>
        <sz val="11"/>
        <color theme="1"/>
        <rFont val="Arial"/>
        <family val="2"/>
      </rPr>
      <t>, and that the Ending Balance of Cash and Cash Equivalents of $146M agreed to Balance Sheet of 10Q. 
The Cash Flow Statement had a detailed support schedule in SCF Q1 2019 workbook. Randomly selected the following ac</t>
    </r>
    <r>
      <rPr>
        <sz val="11"/>
        <rFont val="Arial"/>
        <family val="2"/>
      </rPr>
      <t>tivities from the Cash Flow Statement and confirmed that the amounts were properly linked to the detailed support schedule:
- Stock option compensation expense: increase of $4.6M - agreed to "SOX FCR 6.06 ESA 4.06 Stock Comp Exp_March 19_QTD (1)" tab "Expense (Journal Entries)"</t>
    </r>
    <r>
      <rPr>
        <sz val="11"/>
        <color theme="1"/>
        <rFont val="Arial"/>
        <family val="2"/>
      </rPr>
      <t xml:space="preserve">
- Accretion on asset retirement obligation : increase of $7K - agreed to tab 'ARO 3.31.19'
- Change in fair value of warrant liability: increase; increase of $3.12M - agreed to tab "Warrant Summary"
- Purchase of fixed asset in AP - ending: non cash; increase of $516K in Accounts Payable and $99K in Accrued Expense agreed to tab "FA Accrual details Q1 2019"
Randomly selected the beginning balances of the following balance sheet accounts from the detailed support schedule and confirmed these balances agreed to 2018 10-K:
</t>
    </r>
    <r>
      <rPr>
        <sz val="11"/>
        <rFont val="Arial"/>
        <family val="2"/>
      </rPr>
      <t>Cash and cash equivalents: $167M</t>
    </r>
    <r>
      <rPr>
        <sz val="11"/>
        <color theme="1"/>
        <rFont val="Arial"/>
        <family val="2"/>
      </rPr>
      <t xml:space="preserve">
Inventory: $49M
</t>
    </r>
    <r>
      <rPr>
        <sz val="11"/>
        <rFont val="Arial"/>
        <family val="2"/>
      </rPr>
      <t xml:space="preserve">PP&amp;E Net: $14M </t>
    </r>
    <r>
      <rPr>
        <sz val="11"/>
        <color theme="1"/>
        <rFont val="Arial"/>
        <family val="2"/>
      </rPr>
      <t xml:space="preserve">
APIC: $565M
3. On the Cash Flow Statement itself, selected the following amounts and confirmed that the Excel formulas of control total were accurate:
- Net cash used in operating activities: total decrease of $24M
- Net cash used in investing activities: total decrease of $1.2M
- Net cash provided by financing activities: total increase of $2.7M
4. Verified the Statement of Cash Flows was reviewed and properly approved by Cassie Mahar (Corporate Controller) via sign off on 4/29/2019.  Per the notes in the sign off, the Controller reviewed changes for appropriateness, investigated the cause of the change and reviewed for reasonableness.</t>
    </r>
  </si>
  <si>
    <t>Rocel Dooc
6/13/2019</t>
  </si>
  <si>
    <t>All softcopies provided by Dale Matsuda (Senior Analysist, SEC &amp; SOX)
1. SOX FCR 6.08 GAAP -Deloitte Checklist Q1 2019
2. SOX FCR 6.08 q1 2018 checklist -GAAP approval
3. Edgar_10-Q, softcopy obtained online by A2Q2</t>
  </si>
  <si>
    <t xml:space="preserve">1. Obtained the completed draft US GAAP Checklist for Q1'19.
2. Per review of the checklist, all items were found to have a response of either Y (Yes) or N/A (Not available) for disclosure requirements.
3. Randomly selected the following disclosures from the Checklist and confirmed that the disclosures were appropriately made in the 10-Q:
- Do the financial statements include a description of the major products or services the reporting entity sells or provides and its principal markets, including the locations of those markets?
- Are cash receipts and cash payments classified properly as investing, financing or operating activities? [ASC 230-10-45-10 through 45-27]
- Has the entity complied with the disclosure guidance of ASC 825-10-50 regarding fair values of certain assets and liabilities? [ASC 310-10-50-26]
4. Confirmed that Minah Lee (Interum SEC &amp; SOX Senior Manager), submitted the draft GAAP Checklist for Q1 2019 to Cassie Mahar (Corporate Controller) on 04/26/2019.  Per WT meeting, Cassie explained reviewing the Deloitte checklist and comparing it against the financial statements.  Verified the checklist was approved via email on 05/02/2019 after changes have been made based on her review.
No exception noted.  </t>
  </si>
  <si>
    <t>Rocel Dooc
6/26/2019</t>
  </si>
  <si>
    <t xml:space="preserve">All softcopies provided by Dale Matsuda (Senior Analyst SEC &amp;SOX)
1. SOX FCR 6.10 I 1 VR Face of Account Q1 2019
2. SOX FCR 6.10 SEC Mngr Tie Out Review Q1 2019 10-Q v15
3. SOX FCR 6.10 SEC Mngr Tie Out Review Q1 2019 ER v14
4. SOX FCR 6.10 SEC Analyst Tie Out Q1 2019 10-Q v1.8
5. SOX FCR 6.10 SEC Mngr Tie Out Review Q1 2019 Sign
6. Edgar_10-Q, softcopy obtained online by A2Q2
</t>
  </si>
  <si>
    <r>
      <t xml:space="preserve">1. Obtained the 10Q Schedules workbook "VR Face of Account Q1 2019" and noted that key values were linked to the supporting documents.  To verify accuracy, IA spot checked the following key financials and agreed them from the workbook to the published 10Q:
- Total Assets: $290M; agreed per Balance Sheet to 10Q
- Total Liabilities: $148M; agreed per Balance Sheet  to 10Q
- Total operating expenses: $25M; agreed to Consolidated Income Statement
2. Obtained the prior versions of financial statement drafts and footnote disclosures for Q1'19 and verified that Dale Matsuda (Senior Analyst SEC &amp; SOX) added notes and left tick marks to support that all financial information has been manually tied out and referenced to the file VR Face of Account Q1 2019.
3. Randomly selected the following amounts/disclosures from the Face of Account tab per workbook and agreed to the supporting schedules:
- Total Warrant Liability of $15M; see tab "Warrant Summary". Confirmed the warrants was supported by a detailed breakdown schedule. 
</t>
    </r>
    <r>
      <rPr>
        <sz val="11"/>
        <rFont val="Arial"/>
        <family val="2"/>
      </rPr>
      <t>-Total Equity of $141M; see tab "SOX ESA 5.01 ERF" .  Confirmed the total amount was supported by the Equity Roll forward.</t>
    </r>
    <r>
      <rPr>
        <sz val="11"/>
        <color theme="1"/>
        <rFont val="Arial"/>
        <family val="2"/>
      </rPr>
      <t xml:space="preserve">
-</t>
    </r>
    <r>
      <rPr>
        <sz val="11"/>
        <rFont val="Arial"/>
        <family val="2"/>
      </rPr>
      <t xml:space="preserve"> Total General and administrative expenses of $15M; see tabs PL 3.31.19, PL 3.31.19_G&amp;A and PL 3.31.19_G&amp;A2.  Confirmed the total G&amp;A expenses was supported by detailed breakdown schedule.
</t>
    </r>
    <r>
      <rPr>
        <sz val="11"/>
        <color theme="1"/>
        <rFont val="Arial"/>
        <family val="2"/>
      </rPr>
      <t xml:space="preserve">
4. Verified the form 10Q tie out was reviewed and properly approved by Minah Lee (Consultant  for SEC and SOX Senior Manager) on five 10-Q versions (see "SOX FCR 6.10 SEC Mngr Tie Out Review Q1 2019 Sign").  Noted that review date was not included in the tied out 10Q/10K.  
</t>
    </r>
    <r>
      <rPr>
        <sz val="11"/>
        <color rgb="FFFF0000"/>
        <rFont val="Arial"/>
        <family val="2"/>
      </rPr>
      <t>Reviewer should include the approval date in the final tied out 10Q/10K to verify timely review.</t>
    </r>
  </si>
  <si>
    <t xml:space="preserve">Management Review Control </t>
  </si>
  <si>
    <t>Test findings</t>
  </si>
  <si>
    <t>IUC</t>
  </si>
  <si>
    <t xml:space="preserve">Transactional </t>
  </si>
  <si>
    <t>Preventative - Manual</t>
  </si>
  <si>
    <t>Low</t>
  </si>
  <si>
    <t>Daily</t>
  </si>
  <si>
    <t>Preventative - System</t>
  </si>
  <si>
    <t>Effective (Walkthrough Only)</t>
  </si>
  <si>
    <t>Weekly</t>
  </si>
  <si>
    <t>Detective - Manual</t>
  </si>
  <si>
    <t>Reperformance</t>
  </si>
  <si>
    <t>Ineffective</t>
  </si>
  <si>
    <t>Semi-Monthly</t>
  </si>
  <si>
    <t>Detective - System</t>
  </si>
  <si>
    <t>Inquiry</t>
  </si>
  <si>
    <t>Inconclusive (Pending PBC)</t>
  </si>
  <si>
    <t>Inconclusive (No Population)</t>
  </si>
  <si>
    <t>Inconclusive (No Testing in Current Round)</t>
  </si>
  <si>
    <t>Semi-Annual</t>
  </si>
  <si>
    <t>Annual</t>
  </si>
  <si>
    <t>Not Tested (non-key control)</t>
  </si>
  <si>
    <t>Inconclusive (YE Control)</t>
  </si>
  <si>
    <t>Continuous</t>
  </si>
  <si>
    <t>TBD</t>
  </si>
  <si>
    <t xml:space="preserve">To avoid breaking the drop down links, DO NOT insert column. If you need to add new column, please start from the empty column. </t>
  </si>
  <si>
    <t>Testing Workpapers</t>
  </si>
  <si>
    <t>Process:</t>
  </si>
  <si>
    <t>Control Owner:</t>
  </si>
  <si>
    <t>Control ID:</t>
  </si>
  <si>
    <t>Control Description:</t>
  </si>
  <si>
    <t>Test Validation Approach:</t>
  </si>
  <si>
    <t>Test Method Used:</t>
  </si>
  <si>
    <t>Control Frequency:</t>
  </si>
  <si>
    <t>Control In Place Date:</t>
  </si>
  <si>
    <t>Risk Assessment:</t>
  </si>
  <si>
    <t>Sample Period:</t>
  </si>
  <si>
    <t>Population Size:</t>
  </si>
  <si>
    <t>Sample Derivation:</t>
  </si>
  <si>
    <t>Information Provided by Entity (IPE):</t>
  </si>
  <si>
    <t>Per inquiry with Katherine Nguyen (Accounting Manager), the population received for round 1 was her manual tracking in Excel of the additions made during the testing period, as QAD only has a creation log for P&amp;L accounts. To validate the population, A2Q2 identified accounts not found in prior period trial balances - month by month.  Per our review of the month to month trial balance tie out, we found that all but six GL accounts were identified in Katherine's manual list of additions.
• GL accounts 80150, 80270, and 80280 - Verified through observation of QAD system with Katherine that these accounts are system accounts; thus, not added by ViewRay. 
• GL accounts 15400, 55000, 59060, and 56001 - Verified these accounts were added to QAD at the time of system migration. All, except two accounts, were tied back to QuickBooks.  Per Nick Coombs (QAD consultant) Accounts 56001 and 59060 were created during the QAD implementation. Product Line maintenance requires a number of default accounts including these two. 
• GL Accounts 61430 and 62990 - Verified, per the QAD creation log of P&amp;L Accounts from implementation date, that these accounts were added in 2018; thus, properly excluded from the provided population.  A2Q2 observed Katherine run and provide the creation log.
The above steps validated the completeness of the population provided by Katherine,  The accuracy of the list was tested in operating effectiveness testing, by agreeing the samples per the list to the supporting documents.</t>
  </si>
  <si>
    <t>Round 1:</t>
  </si>
  <si>
    <t xml:space="preserve">Round 2: </t>
  </si>
  <si>
    <t xml:space="preserve">Round 3: </t>
  </si>
  <si>
    <t>Sample Size:</t>
  </si>
  <si>
    <r>
      <t xml:space="preserve">Source File (document name, </t>
    </r>
    <r>
      <rPr>
        <b/>
        <i/>
        <sz val="10"/>
        <rFont val="Arial"/>
        <family val="2"/>
      </rPr>
      <t>hardcopy/softcopy</t>
    </r>
    <r>
      <rPr>
        <b/>
        <sz val="10"/>
        <rFont val="Arial"/>
        <family val="2"/>
      </rPr>
      <t xml:space="preserve"> &amp; provided by):</t>
    </r>
  </si>
  <si>
    <t>All softcopies provided by Katherine Nguyen, Accounting Manager
Sample 1
1. FCR 1.02 - Chart of Accounts - Copy
2. Right of use assess approval email
Sample 2
3. Re Service Ticket #2199199 - Add new bank account
4. FCR 1.02 COA Additions &amp; Modifications
Sample 3
5. RE Expense Accounts
6. FCR 1.02 COA Additions &amp; Modifications</t>
  </si>
  <si>
    <t>Test Performed By:</t>
  </si>
  <si>
    <t>Rocel Dooc</t>
  </si>
  <si>
    <t>Date Testing Performed:</t>
  </si>
  <si>
    <t>Test of Design (TOD):</t>
  </si>
  <si>
    <t>Test of Operating Effectiveness (TOE):</t>
  </si>
  <si>
    <t>Sample #</t>
  </si>
  <si>
    <t>Account Name</t>
  </si>
  <si>
    <t>Creation or Modification Date in QAD</t>
  </si>
  <si>
    <t>Approver</t>
  </si>
  <si>
    <t>Approval date</t>
  </si>
  <si>
    <t>Approval Timely</t>
  </si>
  <si>
    <t>Systems details agree to approval</t>
  </si>
  <si>
    <t>Note</t>
  </si>
  <si>
    <t xml:space="preserve">Round 1: </t>
  </si>
  <si>
    <t>19700 Right of Use Asset</t>
  </si>
  <si>
    <r>
      <t xml:space="preserve">N/A </t>
    </r>
    <r>
      <rPr>
        <b/>
        <sz val="10"/>
        <color rgb="FFFF0000"/>
        <rFont val="Arial"/>
        <family val="2"/>
      </rPr>
      <t>[A]</t>
    </r>
  </si>
  <si>
    <t>Cassie Mahar
(Corporate Controller)</t>
  </si>
  <si>
    <t>*</t>
  </si>
  <si>
    <t>11001 Supplier PIP for 10090</t>
  </si>
  <si>
    <r>
      <t xml:space="preserve">Yes
</t>
    </r>
    <r>
      <rPr>
        <b/>
        <sz val="10"/>
        <color rgb="FFFF0000"/>
        <rFont val="Arial"/>
        <family val="2"/>
      </rPr>
      <t>[B]</t>
    </r>
  </si>
  <si>
    <t>63800 HPMS Offsite Meetings</t>
  </si>
  <si>
    <t>Round 2:</t>
  </si>
  <si>
    <t>Round 3:</t>
  </si>
  <si>
    <t>Reviewer:</t>
  </si>
  <si>
    <t>Lynne May</t>
  </si>
  <si>
    <t>Review Date:</t>
  </si>
  <si>
    <t>Test Findings Assessment:</t>
  </si>
  <si>
    <t>Legend</t>
  </si>
  <si>
    <t>Test step performed with no exception noted.</t>
  </si>
  <si>
    <t>Refer to the Walkthrough tab for details.</t>
  </si>
  <si>
    <t>[A]</t>
  </si>
  <si>
    <t xml:space="preserve">Balance sheet accounts do not have an audit trail in QAD to evidence the time of the change.  The sample was found to be properly approved. </t>
  </si>
  <si>
    <t>[B]</t>
  </si>
  <si>
    <t xml:space="preserve">IA verified Nick Coombes added the account in TEST DB on 03/19/19.  Katherine Nguyen advised to add in QAD PROD on 05/17/19 and Cassie approved on 05/18/19. Nick confirmed add to Production on 5/21/2019 in IT service ticket: 2199199.  </t>
  </si>
  <si>
    <t>Name of Report</t>
  </si>
  <si>
    <t>IUC Type</t>
  </si>
  <si>
    <t>Source Control</t>
  </si>
  <si>
    <t>IUC Validation</t>
  </si>
  <si>
    <t>N/A
No IUC in the control</t>
  </si>
  <si>
    <t>System Generated</t>
  </si>
  <si>
    <t>N/A
No IUC used in the control</t>
  </si>
  <si>
    <t>General</t>
  </si>
  <si>
    <t>Description of How the IUC Is Generated</t>
  </si>
  <si>
    <t>Report Parameters</t>
  </si>
  <si>
    <t>Evidence Obtained to Address Completeness and Accuracy of User-Entered Parameters</t>
  </si>
  <si>
    <t>Source Data</t>
  </si>
  <si>
    <t>Control(s) Addressing Completeness (describe how)</t>
  </si>
  <si>
    <t>Is Control(s) Designed and Operating Effectively (completeness)?</t>
  </si>
  <si>
    <t>Control(s) Addressing Accuracy (describe how)</t>
  </si>
  <si>
    <t xml:space="preserve">Control(s) Addressing Completeness </t>
  </si>
  <si>
    <t>Report Logic</t>
  </si>
  <si>
    <t>Control(s) Addressing the Report Logic</t>
  </si>
  <si>
    <t>Is Control(s) Designed and Operating Effectively?</t>
  </si>
  <si>
    <t>Non System Generated</t>
  </si>
  <si>
    <t>Describe how the controls that addresses the completeness and accuracy of the Non-System-Generated Report</t>
  </si>
  <si>
    <t>Per inquiry and observation with Katherine Nguyen (Accounting Manager), the population received for round 1 included files FCR 2.05 GL Details YTD 3.31.19 and FCR 2.05 GL Details YTD 6.30.19 (2) to cover the entire testing period.  The report run by Katherine is the QAD 'GL Transactions View Extended' - noting she changed the file name.  The dates in the report were noted to match the testing period; thus validating the completeness of the population.  The accuracy was validated in the testing of operation effectiveness;  to determine the accuracy of the population file, internal audit tied individual sample JEs support to the population GL file, including debit totals, spot checks of individual line item values, accounting period, and  GL account coding.
Randomly selected 21 journal entries as samples by filtering the populating report for Daybook "JE" to identify all manual journal entries.  Selections were randomly made for journal entries not covered by a standalone JE control (i.e. accrual, inventory accruals, etc..)</t>
  </si>
  <si>
    <t>All softcopies provided by Katherine Nguyen, Accounting Manager
Sample 1
1. Copy of FCR 2.05 JE Listing Q1 2019
2. JE 359 - Prepaid Expenses - 3.31.19
3. FCR 2.05 JE Listing Q1 2019 - Copy
4. RE EXTERNAL RE EXTERNAL RE A2Q2 Walkthrough PBC Review Meeting Scheduling week of May 20th
Sample 2-21
5. FCR 2.05_Sample 2_19P03_JE344_Capitalized PPV &amp; Inv Reval_v1
6. FCR2.05-JE 346-JET 318 - Reclass from Def Rev to Customer Deposit-Brigham
7. FCR 2.05_Sample 4_19P03_JE350_Recl 12760 to Sites_v1
8. FCR 2.05_Sample 5_19P03_JE374_12785 Rework Costs to Sites_v1
9. FCR 2.05 - Sample 6 - JE 408 (JET 383) Commission expense Q1 2019 ATP
10. FCR 2.05-sample 7 - JE 552 (JET 492) - PR Invoice 3383242 BW PE 4.07.19 - Copy
11. FCR 2.05-Sample 8-JE 540 (JET 479) Bank charges - Euromechanics 4.23.19
12. FCR 2.05 - sample 9-JE 602 (JET 564) Reclass to Rental equipment
13. FCR 2.05 -sample 10-JE 605 (JET 568) Reclass to Alliance meeting
14. FCR 2.05-Sampple 11-JE 609 (JET 578) Q1-19 Deferred Commission 4.30.19
15. FCR 2.05-Sample 12 - JE 653 (JET 602) Solium - Baraner, Hakan - Exe ISO 6381
16. FCR 2.05-Sample 13-JE 697 (JET 647) Vacation Accrual - 5.31.19
17. FCR 2.05-Sample 14 - JE 736 (JET 689) Rent Amortization
18. FCR 2.05-sample 15- JE 740 (JET 693)  Use tax payable May 2019 V2
19. FCR 2.05-Sample 16 - JE 752 (JET 705) Concur Accrual 5.31.19 (Reversing entry)-analysis
20. FCR 2.05-Sample 17 - JE 801 (JET 748) Dividend reinvest - SVB cash sweep
21. FCR 2.05_Sample 18_19P06_JE925_Q2 Helium allocated to sites
22. FCR 2.05 - sample 19 - JE 942 (JET 897) McMaster-Carr Use tax Accrual 6.30.19
23. FCR 2.05_Sample 20_19P06_JE955_Obsolete write-off to Reserve
24. FCR 2.05-JE 977 (JET 957) AR Accrual-San Pietro Install-$200K
25. FCR 2.05 GL Details YTD 3.31.19
26. JE List - March-May 2019
27. FCR 2.09 June review of journal entry approval</t>
  </si>
  <si>
    <t>Rocel Dooc/C. Minarik</t>
  </si>
  <si>
    <t xml:space="preserve">JE# and Description </t>
  </si>
  <si>
    <t>JE Posting Period/
Transaction Date</t>
  </si>
  <si>
    <t xml:space="preserve">Amount </t>
  </si>
  <si>
    <t>JE properly supported</t>
  </si>
  <si>
    <t>JE Preparer</t>
  </si>
  <si>
    <t>JE approver and approval date</t>
  </si>
  <si>
    <t xml:space="preserve">Note </t>
  </si>
  <si>
    <t>JE #359</t>
  </si>
  <si>
    <t>Jennifer Nguyen
GL Accountant</t>
  </si>
  <si>
    <t>Katherine Nguyen
Accounting Manager
04/12/2019</t>
  </si>
  <si>
    <t>JE #344
PPV Capitalization</t>
  </si>
  <si>
    <t>Thao Doan
(Accountant I)
4/3/19</t>
  </si>
  <si>
    <t>Kevin Brown
(Director of Cost Accounting)
04/12/2019</t>
  </si>
  <si>
    <t>JE #346
March reclass deposit to def rev</t>
  </si>
  <si>
    <t>Katherine Jia
(Director of Revenue)
4/3/19</t>
  </si>
  <si>
    <t>Cassie Mahar
(Corporate Controller)
04/12/2019</t>
  </si>
  <si>
    <t>JE #350
March Shipping Costs Reclass</t>
  </si>
  <si>
    <t>JE #374
March Inventory rework</t>
  </si>
  <si>
    <t>Thao Doan
(Accountant I)
4/4/19</t>
  </si>
  <si>
    <t>JE #408
March Deferred commissions</t>
  </si>
  <si>
    <t>Katherine Nguyen
(Accounting Manager)
4/7/19</t>
  </si>
  <si>
    <t>JE #552
April Mid Month Payroll</t>
  </si>
  <si>
    <t>Jennifer Nguyen
(GL Accountant)
5/3/19</t>
  </si>
  <si>
    <t>Kevin Brown
(Director of Cost Accounting
05/10/2019)</t>
  </si>
  <si>
    <t>JE #585
April Trade show expense</t>
  </si>
  <si>
    <t>Jennifer Nguyen
(GL Accountant)
5/6/19</t>
  </si>
  <si>
    <t>Katherine Nguyen
(Accounting Manager)
05/09/2019</t>
  </si>
  <si>
    <t>JE #602
April CIP non project reclass</t>
  </si>
  <si>
    <t>Uy Lam
(Senior GL Accountant)
5/8/19</t>
  </si>
  <si>
    <t xml:space="preserve">JE #605
April Indrin Chetty </t>
  </si>
  <si>
    <t>JE #609
April Deferred Commissions</t>
  </si>
  <si>
    <t>Katherine Nguyen
(Accounting Manager)
05/10/2019</t>
  </si>
  <si>
    <t>Cassie Mahar
(Corporate Controller)
05/13/2019</t>
  </si>
  <si>
    <t>JE #653
May Solium - Baraner, Hakan - Exe ISO 6381</t>
  </si>
  <si>
    <t>Katherine Nguyen
(Accounting Manager)
05/31/2019</t>
  </si>
  <si>
    <t>JE #697
May Unused leave accrual adj</t>
  </si>
  <si>
    <t>Jennifer Nguyen
(GL Accountant)
5/31/19</t>
  </si>
  <si>
    <t>Cassie Mahar
(Corporate Controller)
06/12/2019</t>
  </si>
  <si>
    <t>JE #736
May Rent</t>
  </si>
  <si>
    <t>Jennifer Nguyen
(GL Accountant)
6/6/19</t>
  </si>
  <si>
    <t>Katherine Nguyen
(Accounting Manager)
06/11/2019</t>
  </si>
  <si>
    <t>JE #740
May CIP tax accrual</t>
  </si>
  <si>
    <t>Uy Lam
(Senior GL Accountant)
6/6/19</t>
  </si>
  <si>
    <t>JE #752
May Concur JE</t>
  </si>
  <si>
    <t>Jennifer Nguyen
(GL Accountant)
6/7/19</t>
  </si>
  <si>
    <t>JE #801
June Interest &amp; Divendend</t>
  </si>
  <si>
    <t>Jennifer Nguyen
(GL Accountant)</t>
  </si>
  <si>
    <t>Katherine Nguyen
(Accounting Manager)
06/21/2019</t>
  </si>
  <si>
    <t>JE #925
June Accrue COGS recognized</t>
  </si>
  <si>
    <t>Matthew Huynh
(Cost Accountant)</t>
  </si>
  <si>
    <t>Doris Hua
(Cost Accounting Manager)
07/16/19</t>
  </si>
  <si>
    <t>JE #942
June Taxes Payable - Project Supplies</t>
  </si>
  <si>
    <t>Uy Lam
(Senior GL Accountant)</t>
  </si>
  <si>
    <t>Katherine Nguyen
(Accounting Manager)
07/12/2019</t>
  </si>
  <si>
    <t>JE #955
June Inventory Scrap</t>
  </si>
  <si>
    <t>JE #977
June AR Accrual</t>
  </si>
  <si>
    <t>Katherine Jia
(Director of Revenue)</t>
  </si>
  <si>
    <t>Cassie Mahar
(Corporate Controller)
07/15/2019</t>
  </si>
  <si>
    <t xml:space="preserve">Per inquiry with Cassie Mahar (Corporate Controller), she would normally approve the payroll journal entries - not Kevin Brown (Director of Cost Accounting).  Katherine did verify the payroll journal entry booked by Jennifer, as evidenced on the JE listing. </t>
  </si>
  <si>
    <r>
      <t xml:space="preserve">Noted that Kevin Brown had not been removed from the Excel JE support as the approver and that Doris was still inputted as the preparer in the workbook.  The preparer and approver evidence was solely verified in the QAD reports.  </t>
    </r>
    <r>
      <rPr>
        <sz val="10"/>
        <color rgb="FFFF0000"/>
        <rFont val="Arial"/>
        <family val="2"/>
      </rPr>
      <t>It is recommended that the supporting workbooks are properly updated with the correct sign off every period.</t>
    </r>
  </si>
  <si>
    <t>N/A Monthly controls selected by accounting period.</t>
  </si>
  <si>
    <t xml:space="preserve">All softcopies provided by Cassie Mahar, Corporate Controller
Sample 1
1. FCR 2.09 JET and JE approval log 4.12.19
2. FCR 2.09 JET and JE approval log 4.18.19
3. FCR 2.09-JET and JE approval log 4.23.19
4. FCR 2.09- JET and JE approval log 5.6.19
5. FCR 2.09- email approval of last entry
Sample 2
6. FCR 2.09 June review of journal entry approval
7. FCR 2.09 SuperUser Review- June
</t>
  </si>
  <si>
    <t>Period</t>
  </si>
  <si>
    <t>Proper JE dates reviewed</t>
  </si>
  <si>
    <t>All approvers differ from creator</t>
  </si>
  <si>
    <t>Proper entry dates on creator review</t>
  </si>
  <si>
    <t>Any QAD Admins create GL entries</t>
  </si>
  <si>
    <t>Review</t>
  </si>
  <si>
    <t>Evidence of completed review</t>
  </si>
  <si>
    <t>Notes</t>
  </si>
  <si>
    <t>N/A Not in place in March 2019</t>
  </si>
  <si>
    <t>Cassie Mahar
(Corporate Controller)
5/6/2019</t>
  </si>
  <si>
    <t>Note and sign off on the final JE listing</t>
  </si>
  <si>
    <r>
      <t xml:space="preserve">Cassie Mahar
(Corporate Controller)
7/23/2019  </t>
    </r>
    <r>
      <rPr>
        <b/>
        <sz val="10"/>
        <color rgb="FFFF0000"/>
        <rFont val="Arial"/>
        <family val="2"/>
      </rPr>
      <t>[B]</t>
    </r>
  </si>
  <si>
    <t>Lynne May (WT) / Laurie Matthews (R1)</t>
  </si>
  <si>
    <t>6/26/2019 / 8/20/2019</t>
  </si>
  <si>
    <t>Noted 1 JE status was Approved and Not Passed.  Verified that Cassie Mahar, Corporate Controller investigated the support with no issues and status Approved and Not Passed was erroneously chosen.</t>
  </si>
  <si>
    <t>Noted that Cassie Mahar (CM) documented her review in the excel worksheet at the top line noting the date of review and any issues found.</t>
  </si>
  <si>
    <t>Journal Entry View</t>
  </si>
  <si>
    <t>N/A Quarterly controls selected by accounting period.</t>
  </si>
  <si>
    <t>Date Tested</t>
  </si>
  <si>
    <t>Number of Invoices Sampled</t>
  </si>
  <si>
    <t>Accruaify Unmatched Receipts report parameters</t>
  </si>
  <si>
    <t>Any variances</t>
  </si>
  <si>
    <t>Review
(Person &amp; Date)</t>
  </si>
  <si>
    <t>Obtained the GL Detail Browe for the period of 1/1/19 - 3/31/19 and 4/1/19- 6/30/19. Filtered the Day book column for JE to identify all manual JE's for the testing period. The completeness of the reports were validated by ensuring the posting dates aligned with the requested period. To obtain the non-material accruals, filtered for JEs with account 20100 - Accrued Expenses to obtain the JE #s. Also filtered out JES with 0 credit balances to exclude the reversals.</t>
  </si>
  <si>
    <t>All softcopies provided by Katherine Nguyen, Accounting Manager
Sample 1
1. FCR 2.05 JE Listing Q1 2019 - Copy
2. FCR 3.08 - JE 392 (JET 367) Accounting, Consulting &amp; Legal Accrual 3.31.19 (Reversing JE)
3. FCR 3.08 - Non-materials accrual journal entries - Copy
4. Pillsbury folder
5. Gibson folder
6. Randstad folder
7. 20100 Accrued Liabilities - 3.31.19 including AJE
8. RE   EXTERNAL  FCR 3 08 (non-materials
Sample 2-9
9. FCR 3.09 sample 2 - JE 415 (JET 392) Concur - Saracen, Michael (Reversing JE)
10. FCR 3.09 sample 3- JE 595 (JET 558) Accrue PNC Jan in April 2019
11. FCR 3.09-Sample 4-JE 611 (JET 581) Accounting accrual Q1 audit fee - Deloitte (Reversing JE)
12. FCR 3.09 - sample 5- JE 762 (JET 715) Non-Inventory Accrual 5.31.19 V1
13. FCR 3.09 Sample 6- JE 765 (JET 720) Upload-Transgroup  Accrual (Reversing entry)
14. FCR 3.09 sample 7 - JE 927 (JET 881) Accrue State of Delaware Franchise Tax for Q2 2019
15. FCR 3.09 sample 8 - JE 934 (JET 889)  Non-Inventory Accrual 6.30.19
16. FCR 3.09-Sample 9-JE 982 (JET 967) Settlement with distributor-Lavi 6.30.19
17. FCR 2.05 GL Details YTD 3.31.19
18. FCR 2.05 GL Details YTD 6.30.19 (2)
19. JE List - March-May 2019</t>
  </si>
  <si>
    <t>JE Vouchers</t>
  </si>
  <si>
    <t>Accrual workbook clerically accurate</t>
  </si>
  <si>
    <t xml:space="preserve">Sub-sampled accruals agree to support </t>
  </si>
  <si>
    <t>System JE agrees to accrual schedule</t>
  </si>
  <si>
    <t>Date of approval</t>
  </si>
  <si>
    <t>March '19</t>
  </si>
  <si>
    <t xml:space="preserve">Katherine Nguyen
Accounting Manager </t>
  </si>
  <si>
    <r>
      <t>N/A</t>
    </r>
    <r>
      <rPr>
        <b/>
        <sz val="10"/>
        <color rgb="FFFF0000"/>
        <rFont val="Arial"/>
        <family val="2"/>
      </rPr>
      <t xml:space="preserve"> [C]</t>
    </r>
  </si>
  <si>
    <r>
      <rPr>
        <b/>
        <sz val="10"/>
        <color rgb="FFFF0000"/>
        <rFont val="Arial"/>
        <family val="2"/>
      </rPr>
      <t>[A]</t>
    </r>
    <r>
      <rPr>
        <sz val="10"/>
        <rFont val="Arial"/>
        <family val="2"/>
      </rPr>
      <t xml:space="preserve">
Katherine Nguyen
Accounting Manager </t>
    </r>
  </si>
  <si>
    <t>April '19</t>
  </si>
  <si>
    <t>May '19</t>
  </si>
  <si>
    <t>June '19</t>
  </si>
  <si>
    <r>
      <rPr>
        <b/>
        <sz val="10"/>
        <color rgb="FFFF0000"/>
        <rFont val="Arial"/>
        <family val="2"/>
      </rPr>
      <t>[B]</t>
    </r>
    <r>
      <rPr>
        <sz val="10"/>
        <rFont val="Arial"/>
        <family val="2"/>
      </rPr>
      <t xml:space="preserve">
Katherine Nguyen
Accounting Manager </t>
    </r>
  </si>
  <si>
    <r>
      <rPr>
        <b/>
        <sz val="10"/>
        <color rgb="FFFF0000"/>
        <rFont val="Arial"/>
        <family val="2"/>
      </rPr>
      <t>[B]</t>
    </r>
    <r>
      <rPr>
        <sz val="10"/>
        <rFont val="Arial"/>
        <family val="2"/>
      </rPr>
      <t xml:space="preserve">
Cassie Mahar
Controller</t>
    </r>
  </si>
  <si>
    <t>Lynne May / Laurie Matthews</t>
  </si>
  <si>
    <t>7/19/2019 &amp; 9/4/2019</t>
  </si>
  <si>
    <t>Inspected file "JE List - March-May 2019" and verified approval for NS JEs.</t>
  </si>
  <si>
    <t>Inspected file "FCR 2.05 GL Details YTD 6.30.19 (2)" and verified approval for NS JEs.</t>
  </si>
  <si>
    <t>[C]</t>
  </si>
  <si>
    <t xml:space="preserve">The support for each of the JE's were mathematically accurate. No accrual workbook was used in the preparation of these accruals. </t>
  </si>
  <si>
    <t>Accrualify Invoiced Not Received (Non-Inventory)</t>
  </si>
  <si>
    <t>Concur accrual report</t>
  </si>
  <si>
    <t>Transgroup Listing</t>
  </si>
  <si>
    <t>20100 Accrued Liabilities</t>
  </si>
  <si>
    <t>See source control</t>
  </si>
  <si>
    <r>
      <rPr>
        <sz val="10"/>
        <rFont val="Arial"/>
        <family val="2"/>
      </rPr>
      <t>All softcopies provided by Katherine Nguyen, Accounting Manager
FCR 3.11
1. FW Invoice list
2. FCR 3.11 Subsequent Invoice list Q1 2019 - Copy
3. FCR 3.08 - JE 392 (JET 367) Accounting, Consulting &amp; Legal Accrual 3.31.19 (Reversing JE)
Edgar Search 10Q filing, softcopy obtained online by A2Q2</t>
    </r>
    <r>
      <rPr>
        <b/>
        <sz val="10"/>
        <rFont val="Arial"/>
        <family val="2"/>
      </rPr>
      <t xml:space="preserve">
</t>
    </r>
  </si>
  <si>
    <t>Subsequent invoices maintained on the log</t>
  </si>
  <si>
    <t>If any, accrual JE agrees to log</t>
  </si>
  <si>
    <t>Any invoices on the list noted in other accruals already booked</t>
  </si>
  <si>
    <t>Date</t>
  </si>
  <si>
    <t>None</t>
  </si>
  <si>
    <t>The population received for round 1 included files TB - 1.31.19, TB Feb 2019, FCR 4.04-TB tie-out to B.S. recs 3.31.19, TB 4.30.19, TB May 2019 and FCR 4.02 TB 6.30.19 to cover the entire testing period.  The dates in the report were noted to match the testing period; thus validating the completeness of the population.
Randomly selected 20 samples from January to June Trial Balance files.</t>
  </si>
  <si>
    <t>All softcopies provided by Katherine Nguyen, Accounting Manager
1. FCR 4.02 Reconciliations - 13100 - Prepaid Expenses Mar 2019 - Copy
2. FCR 4.02 Reconciliations - 13100 - Prepaid Expenses Mar 2019 - Supporting Documents - Copy
3. FCR 4.04-TB tie-out to B.S. recs 3.31.19
4. FCR 4.02 - sample 2- 13200 Deposits on Components - 1.31.2019
5. FCR 4.02-Sample 3-10500 &amp; 18600 PNC Money Market Reconciliation 1.31.19
6. FCR 4.02-Sample 4-20140 &amp; 20160 - Uninvoiced Receipt - summary - 1.31.19
7. FCR 4.02-Sample 5-21010 Accrued Commissions - 1.31.19
8. FCR 4.02-Sample 6-13400 Deferred Sales Commissions - 2.28.19
9. FCR 4.02-Sample 7 - 13500 Employee Advances and Others - 2.28.19
10. FCR 4.02 - sample 8- 20400 - 20410 Taxes Payable - 2.28.19
11. FCR 4.02-Sample 9 - 19P03 Inventory Recon_FINAL
12. FCR 4.02-Sample 10 - 19500 Other Assets - 3.31.19
13.  FCR 4.02-20900-Deferred Revenue Schedule 3.31.2019
14. FCR 4.02-Sample 12 - 19700, 21030, 22300  Right of Use Asset and lease liability - 3.31.19 FINAL
15. FCR 4.02-13010 - AR Accrual 4.30.2019
16. FCR 4.02_Sample 14_19P03 Inventory Recon_FINAL
17. FCR 4.02-Sample 15-26000, 26400, 26530 &amp; 26535 II 8.5 SVB Loan 6.30.19
18. FCR 4.02-Sample 16-10600 JPMorganChase Checking Reconciliation - 5.31.19
19. FCR4.02-Sample 17 - 20360 ARO 5.31.19
20. 12000s- Q2 Inventory Recon_as of 190718_FINAL
21. FCR 4.02-13000-13001 AR Aging Detail-6.30.2019
22. FCR 4.02 - sample 20- 20000 - AP Aging Details 6.30.19
23. TB - 1.31.19
24. TB Feb 2019
25. TB 4.30.19
26. TB May 2019
27. FCR 4.02 TB 6.30.19</t>
  </si>
  <si>
    <t>6/26/2019/ 09/03/19</t>
  </si>
  <si>
    <t>Account name</t>
  </si>
  <si>
    <t>Account balance</t>
  </si>
  <si>
    <t>Recon agreed to support</t>
  </si>
  <si>
    <t>Recon workbook was clerically accurate</t>
  </si>
  <si>
    <t>GL balance was agreed to TB</t>
  </si>
  <si>
    <t>Reconciling items</t>
  </si>
  <si>
    <t>Reconciliation prepared by</t>
  </si>
  <si>
    <t xml:space="preserve">Reconciliation reviewer and review date </t>
  </si>
  <si>
    <t>13100 Prepaid expenses</t>
  </si>
  <si>
    <t>Cassie Mahar
(Corporate Controller)
04/10/19</t>
  </si>
  <si>
    <t xml:space="preserve"> 13200 Deposits on Components </t>
  </si>
  <si>
    <t>Uy Lam
Senior GL Accountant</t>
  </si>
  <si>
    <t>Cassie Mahar
(Corporate Controller)
02/19/19</t>
  </si>
  <si>
    <t xml:space="preserve"> 18600 PNC Sec Acct-Standby LC </t>
  </si>
  <si>
    <t>Katherine Nguyen
Accounting Manager</t>
  </si>
  <si>
    <t xml:space="preserve"> 20160 Uninvoiced Recpt - Exp </t>
  </si>
  <si>
    <t>Cassie Mahar
(Corporate Controller)
02/15/19</t>
  </si>
  <si>
    <t xml:space="preserve"> 21010 Accrued Commissions </t>
  </si>
  <si>
    <t>Cassie Mahar
(Corporate Controller)
02/21/19</t>
  </si>
  <si>
    <t xml:space="preserve"> 13400 Deferred Sales Commissions </t>
  </si>
  <si>
    <t>Cassie Mahar
(Corporate Controller)
03/13/19</t>
  </si>
  <si>
    <t xml:space="preserve"> 13500 Employee Advances &amp; Other </t>
  </si>
  <si>
    <t xml:space="preserve"> 20410 Accrued sales tax </t>
  </si>
  <si>
    <t>Cassie Mahar
(Corporate Controller)
03/19/19</t>
  </si>
  <si>
    <t>12700 WIP</t>
  </si>
  <si>
    <t>Doris Hua
Cost Accounting Manager</t>
  </si>
  <si>
    <t>Kevin Brown
(Director of Cost Accounting)
04/25/2019</t>
  </si>
  <si>
    <t xml:space="preserve"> 19500 Other Assets </t>
  </si>
  <si>
    <t xml:space="preserve"> 20900 Deferred Revenue-Current </t>
  </si>
  <si>
    <t>Katherine Jia
Director of Revenue</t>
  </si>
  <si>
    <t>Cassie Mahar
(Corporate Controller)
04/12/19</t>
  </si>
  <si>
    <t xml:space="preserve"> 22300 Lease Liability - LT </t>
  </si>
  <si>
    <t>13010 A/R Accrual</t>
  </si>
  <si>
    <t>Cassie Mahar
(Corporate Controller)
no sign off date</t>
  </si>
  <si>
    <t>12750 Finished Goods</t>
  </si>
  <si>
    <t xml:space="preserve"> 26000 Notes Payable-Long Term </t>
  </si>
  <si>
    <t>Cassie Mahar
(Corporate Controller)
07/12/19</t>
  </si>
  <si>
    <t xml:space="preserve"> 10600 Chase Checking </t>
  </si>
  <si>
    <t>Cassie Mahar
(Corporate Controller)
06/10/19</t>
  </si>
  <si>
    <t xml:space="preserve"> 20360 Asset Retirement Obligation </t>
  </si>
  <si>
    <t>Cassie Mahar
(Corporate Controller)
06/11/19</t>
  </si>
  <si>
    <t xml:space="preserve"> 12500 Raw Materials </t>
  </si>
  <si>
    <t>Immaterial $1.00</t>
  </si>
  <si>
    <t>Cassie Mahar
(Corporate Controller)
07/18/19</t>
  </si>
  <si>
    <t xml:space="preserve"> 13000 A/R</t>
  </si>
  <si>
    <t xml:space="preserve"> 20000 Accounts Payable </t>
  </si>
  <si>
    <t>Cassie Mahar
(Corporate Controller)
and
Katherine Nguyen
(Accounting Manager)
07/07/19</t>
  </si>
  <si>
    <t>6/27/2019 &amp; 9/4/2019</t>
  </si>
  <si>
    <t>There was no sign off on the AP recon because it is a system tie out (all from QAD).  A2Q2 got the signed MEC checklist to show the sign off.</t>
  </si>
  <si>
    <t>All softcopies provided by Cassie Mahar, Corporate Controller
FCR 4.04-TB tie-out to B.S. recs 3.31.19</t>
  </si>
  <si>
    <t>Accounts reviewed</t>
  </si>
  <si>
    <t>Account accounts validated for completed reconciliation</t>
  </si>
  <si>
    <t>Reviewer</t>
  </si>
  <si>
    <t>Date of review</t>
  </si>
  <si>
    <t>Evidence of review</t>
  </si>
  <si>
    <t>Sign off and comment in the Excel file</t>
  </si>
  <si>
    <t>All softcopies provided by Katherine Nguyen, Accounting Manager
1. FCR 5.05 - JE 416 (JET 393) - Facility Allocation - 3.31.19 - Copy</t>
  </si>
  <si>
    <t>JE Voucher</t>
  </si>
  <si>
    <t>Support Clerically accurate</t>
  </si>
  <si>
    <t>Allocation percentages proper</t>
  </si>
  <si>
    <t>System JE agrees to support</t>
  </si>
  <si>
    <t>Preparer</t>
  </si>
  <si>
    <t>Approval</t>
  </si>
  <si>
    <t>Katherine Nguyen
(Accounting Manager)</t>
  </si>
  <si>
    <t>Cassie Mahar
(Corporate Controller)
4/12/2019</t>
  </si>
  <si>
    <t>All softcopies provided by Cassie Mahar, Corporate Controller
FCR 5.010
1. FCR 5.10 approval Q1 19
2. FCR 5.10-Balance Sheet and P&amp;L flux 3.31.19</t>
  </si>
  <si>
    <t>Variances properly calculated</t>
  </si>
  <si>
    <t>Variances properly explained</t>
  </si>
  <si>
    <t>Any follow up performed and resolved</t>
  </si>
  <si>
    <t>Q1 '19</t>
  </si>
  <si>
    <t xml:space="preserve"> Brian Knaley (VP Finance) 
Ajay Bansal (CFO) </t>
  </si>
  <si>
    <t>Cheila Garcia</t>
  </si>
  <si>
    <t xml:space="preserve">6/27/2019 &amp; 8/15/2019 </t>
  </si>
  <si>
    <t>Nature of Non-routine Transaction</t>
  </si>
  <si>
    <t>Prescribed accounting treatment (Conclusion)</t>
  </si>
  <si>
    <t>Appropriate accounting guidance used</t>
  </si>
  <si>
    <t xml:space="preserve">Memo prepared by </t>
  </si>
  <si>
    <t xml:space="preserve">Memo reviewed by </t>
  </si>
  <si>
    <t>Approval Date</t>
  </si>
  <si>
    <t>Adoption of ASC 842 and related accounting</t>
  </si>
  <si>
    <t xml:space="preserve">Dale Matsuda (Senior Analyst SEC &amp; SOX) </t>
  </si>
  <si>
    <t xml:space="preserve">Cassie Mahar (Corporate Controller) and Brian Knaley (VP of Finance)  </t>
  </si>
  <si>
    <t>02/14/19 and 02/17/19</t>
  </si>
  <si>
    <t>Testing period</t>
  </si>
  <si>
    <t>Beginning balance supported</t>
  </si>
  <si>
    <t>Activity agrees to the support</t>
  </si>
  <si>
    <t>Ending balance supported</t>
  </si>
  <si>
    <t xml:space="preserve"> Cassie Mahar
(Corporate Controller)</t>
  </si>
  <si>
    <t>All softcopies provided by Dale Matsuda (Senior Analyst SEC &amp;SOX)
1. SOX FCR 6.04 - Q1 2019_opening BS recon
Obtained by A2Q2 online
2. Edgar 10-K 
3. Edgar_10-Q</t>
  </si>
  <si>
    <t>Prior period's schedule ending balance agree to the filing</t>
  </si>
  <si>
    <t>NetSuite balance sheet re-run for the current period</t>
  </si>
  <si>
    <t>Any variances noted</t>
  </si>
  <si>
    <t>Ending balance per the prior filing agrees to that of the current filing</t>
  </si>
  <si>
    <t>Reviewers and date</t>
  </si>
  <si>
    <t>Minah Lee
(Interim SEC Manager)
04/29/2019</t>
  </si>
  <si>
    <t>All softcopies provided by Dale Matsuda (Senior Analyst SEC &amp;SOX)
1. SOX FCR 6.08 GAAP -Deloitte Checklist Q1 2019
2. SOX FCR 6.08 q1 2018 checklist -GAAP approval
3. Edgar_10-Q, softcopy obtained online by A2Q2</t>
  </si>
  <si>
    <t>Sampled Disclosures agree with 10Q/10K</t>
  </si>
  <si>
    <t>Disclosures agree to 10Q/10K</t>
  </si>
  <si>
    <t>Disclosure Checklist complete</t>
  </si>
  <si>
    <t xml:space="preserve">Cassie Mahar
Corporate Controller </t>
  </si>
  <si>
    <t>All softcopies provided by Dale Matsuda (Senior Analyst SEC &amp;SOX)
1. SOX FCR 6.10 I 1 VR Face of Account Q1 2019
2. SOX FCR 6.10 SEC Mngr Tie Out Review Q1 2019 10-Q v15
3. SOX FCR 6.10 SEC Mngr Tie Out Review Q1 2019 ER v14
4. SOX FCR 6.10 SEC Analyst Tie Out Q1 2019 10-Q v1.8
5. SOX FCR 6.10 SEC Mngr Tie Out Review Q1 2019 Sign
6. Edgar_10-Q, softcopy obtained online by A2Q2</t>
  </si>
  <si>
    <t>Sampled schedules</t>
  </si>
  <si>
    <t>Footnote disclosures were spot checked against 10Q schedule</t>
  </si>
  <si>
    <t>Financial statements agrees to 10Q schedule</t>
  </si>
  <si>
    <t xml:space="preserve">Reviewer </t>
  </si>
  <si>
    <t>Review Date</t>
  </si>
  <si>
    <t>Minah Lee
(Interum SEC &amp; SOX Sr Manager)</t>
  </si>
  <si>
    <t>Controls Relying on IUC</t>
  </si>
  <si>
    <t>UIC testing completed</t>
  </si>
  <si>
    <t>Accrualify Invoiced not Received List</t>
  </si>
  <si>
    <t>See souce control</t>
  </si>
  <si>
    <t>Account Reconciliation workbooks</t>
  </si>
  <si>
    <t>Facility Allocation work book</t>
  </si>
  <si>
    <t xml:space="preserve">TriNet Census </t>
  </si>
  <si>
    <t>This is covered by the third party provider's controls. Refer to ITG 5.11</t>
  </si>
  <si>
    <t>FCR 5.05
ITGC 5.11</t>
  </si>
  <si>
    <t>Global EE list</t>
  </si>
  <si>
    <t>Balance Sheet &amp; P&amp;L Flux worksheet</t>
  </si>
  <si>
    <t>Refer to souce control</t>
  </si>
  <si>
    <t>FCR 5.10
ITGC 5.10</t>
  </si>
  <si>
    <t>FCR 5.10
ITGC 5.11</t>
  </si>
  <si>
    <t>ITGC 5.11</t>
  </si>
  <si>
    <t>Refer to souce control - FCR 5.10</t>
  </si>
  <si>
    <t>SCF workbook</t>
  </si>
  <si>
    <t>Asset Retirement Obligation Schedule</t>
  </si>
  <si>
    <t>Warrants Fair Value Workbook</t>
  </si>
  <si>
    <t>19700 21030 22300  Right of Use Asset and Lease Liability</t>
  </si>
  <si>
    <t>FA 5.03</t>
  </si>
  <si>
    <t>Face of Account workbook</t>
  </si>
  <si>
    <t>FCR 6.04
FCR 6.11</t>
  </si>
  <si>
    <t>The openning balance is validated in FCR 6.04</t>
  </si>
  <si>
    <t xml:space="preserve">Refer to souce control </t>
  </si>
  <si>
    <t>FCR 3.09
INV 3.08</t>
  </si>
  <si>
    <t>Uy Lam
(Senior Accountant GL)</t>
  </si>
  <si>
    <t>Jennifer Nguyen
(Accountant GL)</t>
  </si>
  <si>
    <t>Katherin Nguyen
(Accountanting Manager)</t>
  </si>
  <si>
    <t>Muliple</t>
  </si>
  <si>
    <t>Reconciliation workbooks</t>
  </si>
  <si>
    <t>HR</t>
  </si>
  <si>
    <t>Brian Knaley
(VP of Finance)</t>
  </si>
  <si>
    <t>FCR 6.04
FCR 6.07
FCR 6.11</t>
  </si>
  <si>
    <t>FCR 4.02
FCR 6.07</t>
  </si>
  <si>
    <t>Dale Matsuda
(Senior Analysist SEC &amp; SOX)
Keven Lowrey
(SEC Reporting Manager)</t>
  </si>
  <si>
    <t>TCM 6.04</t>
  </si>
  <si>
    <t>FA 3.04</t>
  </si>
  <si>
    <t>Fixed Asset Accrual Details
(Rollforward)</t>
  </si>
  <si>
    <t>Equity Rollforward</t>
  </si>
  <si>
    <t>ESA 5.01</t>
  </si>
  <si>
    <t>FCR 6.07
FCR 6.11</t>
  </si>
  <si>
    <t>Financial Statement Close</t>
  </si>
  <si>
    <t>Accounts Payable Team</t>
  </si>
  <si>
    <t>GL &amp; Cost Accounting Teams</t>
  </si>
  <si>
    <t xml:space="preserve">Journal Entry/Reconciliation Approvers </t>
  </si>
  <si>
    <t>CFO and CEO</t>
  </si>
  <si>
    <t>Notes:</t>
  </si>
  <si>
    <t>All manual journal entries and account reconciliations are reviewed and approved by someone other than the preparer at the Accounting Manager level or higher. Approvers include the Accounting Manager, Cost Accounting Manager, Director of Cost Accounting, Director of Revenue, and Corporate Controller.</t>
  </si>
  <si>
    <t>IUC (WP)(WT)</t>
  </si>
  <si>
    <t>Menu</t>
  </si>
  <si>
    <t>FCR 2.09 (WP)</t>
  </si>
  <si>
    <t>FCR 4.02 (WP)</t>
  </si>
  <si>
    <t>Click "Show All" button to show all tabs</t>
  </si>
  <si>
    <t>Click "RCM" button to go to the RCM tab</t>
  </si>
  <si>
    <t>Click "Workpapers" button to show all the control workpapers</t>
  </si>
  <si>
    <t>Click "Walkthrough" button to go to the walkthrough test paper</t>
  </si>
  <si>
    <t>Click "Flowchart" button to show all the flowcharts</t>
  </si>
  <si>
    <t>Click "Narrative" button to go to the narrative tab</t>
  </si>
  <si>
    <t>FCR 4.04 (WP)</t>
  </si>
  <si>
    <t>FCR 5.05 (WP)</t>
  </si>
  <si>
    <t>FCR 5.10 (WP)</t>
  </si>
  <si>
    <t>FCR 5.11 (WP)</t>
  </si>
  <si>
    <t>FCR 6.04 (WP)</t>
  </si>
  <si>
    <t>FCR 6.07 (WP)</t>
  </si>
  <si>
    <t>FCR 6.09 (WP)</t>
  </si>
  <si>
    <t>FCR 6.11 (WP)</t>
  </si>
  <si>
    <t>File Overview:</t>
  </si>
  <si>
    <t>This file consists of the Narratives, RCM, Flowcharts, Walkthrough and Test Workpapers</t>
  </si>
  <si>
    <t>How to ensure links are working?</t>
  </si>
  <si>
    <t>Make sure to click on the "Enable Content" button when you open the file</t>
  </si>
  <si>
    <t>Tab Naming Convention</t>
  </si>
  <si>
    <t>WORKBOOK GUIDE</t>
  </si>
  <si>
    <t>The Menu tab has clickable buttons that can show/hide the Walkthrough, Flowcharts and Test Workpapers. (Menu, Narrative, and RCM tabs are always visible)</t>
  </si>
  <si>
    <t>RCM - Control Description, In Place Date, and Control Owner columns are linked from the narrative</t>
  </si>
  <si>
    <t>Workpapers - Standar information such as Control ID, Frequency, etc. are linked from the RCM</t>
  </si>
  <si>
    <t>Embedded Formulas/Links</t>
  </si>
  <si>
    <t>Formulas/Links that need to be manually input</t>
  </si>
  <si>
    <t>Flowchart - linking the key controls from flowchart to RCM (or vice versa)</t>
  </si>
  <si>
    <t>FAQ's</t>
  </si>
  <si>
    <t>If I copy a tab from one file to this workbook, will the hide/unhide feature still work?</t>
  </si>
  <si>
    <t>Yes, as long as the appropriate "key string" is used (see Tab Naming Convention)</t>
  </si>
  <si>
    <t>Can I use multiple "key strings" for the tab names?</t>
  </si>
  <si>
    <t xml:space="preserve">Yes, but make sure that each "key string" is enclosed in parenthesis 
i.e. IUC (WT) (WP) </t>
  </si>
  <si>
    <t>Does this work online?</t>
  </si>
  <si>
    <t>No, Macro enabled excel files don't work in SF online, Team, or other online platforms</t>
  </si>
  <si>
    <t>What is the process if I have to update the file?</t>
  </si>
  <si>
    <t>We will follow the same "Check in - Check out" process in Sharefile</t>
  </si>
  <si>
    <t>Will my progress be automatically updated on the tracker?</t>
  </si>
  <si>
    <t xml:space="preserve">No, due to (potentially) multiple versions for either files, linking to the tracker is not feasible </t>
  </si>
  <si>
    <t>To ensure that the tab you added is grouped appropriately, use the following "key strings" enclosed in parenthesis:</t>
  </si>
  <si>
    <r>
      <rPr>
        <b/>
        <sz val="11"/>
        <color rgb="FF0000FF"/>
        <rFont val="Calibri"/>
        <family val="2"/>
        <scheme val="minor"/>
      </rPr>
      <t>(FC)</t>
    </r>
    <r>
      <rPr>
        <sz val="11"/>
        <color theme="1"/>
        <rFont val="Calibri"/>
        <family val="2"/>
        <scheme val="minor"/>
      </rPr>
      <t xml:space="preserve"> - Flowcharts                                i.e. New Hires (FC), (FC) Reconciliation</t>
    </r>
  </si>
  <si>
    <r>
      <rPr>
        <b/>
        <sz val="11"/>
        <color rgb="FF0000FF"/>
        <rFont val="Calibri"/>
        <family val="2"/>
        <scheme val="minor"/>
      </rPr>
      <t>(WT)</t>
    </r>
    <r>
      <rPr>
        <sz val="11"/>
        <color theme="1"/>
        <rFont val="Calibri"/>
        <family val="2"/>
        <scheme val="minor"/>
      </rPr>
      <t xml:space="preserve"> - Walkthrough                          i.e. IUC Testing (WT)     </t>
    </r>
  </si>
  <si>
    <t>FCR 3.04 (WP)</t>
  </si>
  <si>
    <r>
      <t xml:space="preserve">For uniformity, add the key string at the </t>
    </r>
    <r>
      <rPr>
        <b/>
        <u/>
        <sz val="12"/>
        <color rgb="FFFF0000"/>
        <rFont val="Calibri"/>
        <family val="2"/>
        <scheme val="minor"/>
      </rPr>
      <t>END</t>
    </r>
    <r>
      <rPr>
        <sz val="12"/>
        <color rgb="FFFF0000"/>
        <rFont val="Calibri"/>
        <family val="2"/>
        <scheme val="minor"/>
      </rPr>
      <t xml:space="preserve"> of the tab name</t>
    </r>
  </si>
  <si>
    <r>
      <rPr>
        <b/>
        <sz val="11"/>
        <color rgb="FF0000FF"/>
        <rFont val="Calibri"/>
        <family val="2"/>
        <scheme val="minor"/>
      </rPr>
      <t>(WP)</t>
    </r>
    <r>
      <rPr>
        <sz val="11"/>
        <color theme="1"/>
        <rFont val="Calibri"/>
        <family val="2"/>
        <scheme val="minor"/>
      </rPr>
      <t xml:space="preserve"> - Testing Workpaper               i.e. FCR 2.01 (WP), (WP) ITGC 1.1</t>
    </r>
  </si>
  <si>
    <t>FCR 1.02 (WP)</t>
  </si>
  <si>
    <t>FCR 2.05 (WP)</t>
  </si>
  <si>
    <t>at each quarter end the Senior Analyst SEC &amp; SOX or Senior Manager SEC &amp; SOX generates the trial balance, P&amp;L, and Balance Sheet in QAD.  The balance sheet is agreed to manual recalculation of account roll up per the trial balance and the P&amp;L is agreed to</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</si>
</sst>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6" formatCode="&quot;$&quot;#,##0_);[Red]\(&quot;$&quot;#,##0\)"/>
    <numFmt numFmtId="8" formatCode="&quot;$&quot;#,##0.00_);[Red]\(&quot;$&quot;#,##0.00\)"/>
    <numFmt numFmtId="44" formatCode="_(&quot;$&quot;* #,##0.00_);_(&quot;$&quot;* \(#,##0.00\);_(&quot;$&quot;* &quot;-&quot;??_);_(@_)"/>
    <numFmt numFmtId="164" formatCode="[$-409]mmmm\ d\,\ yyyy;@"/>
    <numFmt numFmtId="165" formatCode="[$-409]mmm\-yy;@"/>
    <numFmt numFmtId="166" formatCode="mmm\-yyyy"/>
    <numFmt numFmtId="167" formatCode="[$-409]d\-mmm\-yy;@"/>
    <numFmt numFmtId="168" formatCode="&quot;$&quot;#,##0.00"/>
    <numFmt numFmtId="169" formatCode="_([$$-409]* #,##0.00_);_([$$-409]* \(#,##0.00\);_([$$-409]* &quot;-&quot;??_);_(@_)"/>
    <numFmt numFmtId="170" formatCode="0."/>
  </numFmts>
  <fonts count="53" x14ac:knownFonts="1">
    <font>
      <sz val="11"/>
      <color theme="1"/>
      <name val="Calibri"/>
      <family val="2"/>
      <scheme val="minor"/>
    </font>
    <font>
      <sz val="11"/>
      <color theme="1"/>
      <name val="Calibri"/>
      <family val="2"/>
      <scheme val="minor"/>
    </font>
    <font>
      <b/>
      <sz val="11"/>
      <color theme="1"/>
      <name val="Calibri"/>
      <family val="2"/>
      <scheme val="minor"/>
    </font>
    <font>
      <b/>
      <sz val="10"/>
      <color rgb="FF000000"/>
      <name val="Arial"/>
      <family val="2"/>
    </font>
    <font>
      <sz val="11"/>
      <color theme="1"/>
      <name val="Arial"/>
      <family val="2"/>
    </font>
    <font>
      <sz val="10"/>
      <name val="Arial"/>
      <family val="2"/>
    </font>
    <font>
      <b/>
      <sz val="10"/>
      <name val="Arial"/>
      <family val="2"/>
    </font>
    <font>
      <sz val="10"/>
      <color theme="1"/>
      <name val="Arial"/>
      <family val="2"/>
    </font>
    <font>
      <b/>
      <sz val="10"/>
      <color theme="0"/>
      <name val="Arial"/>
      <family val="2"/>
    </font>
    <font>
      <sz val="10"/>
      <color theme="0"/>
      <name val="Arial"/>
      <family val="2"/>
    </font>
    <font>
      <i/>
      <sz val="10"/>
      <name val="Arial"/>
      <family val="2"/>
    </font>
    <font>
      <i/>
      <sz val="10"/>
      <color theme="1"/>
      <name val="Arial"/>
      <family val="2"/>
    </font>
    <font>
      <b/>
      <sz val="16"/>
      <color theme="1"/>
      <name val="Wingdings"/>
      <charset val="2"/>
    </font>
    <font>
      <b/>
      <sz val="10"/>
      <color theme="1"/>
      <name val="Arial"/>
      <family val="2"/>
    </font>
    <font>
      <sz val="10"/>
      <color rgb="FFFF0000"/>
      <name val="Arial"/>
      <family val="2"/>
    </font>
    <font>
      <b/>
      <sz val="10"/>
      <color rgb="FFFF0000"/>
      <name val="Arial"/>
      <family val="2"/>
    </font>
    <font>
      <b/>
      <i/>
      <sz val="10"/>
      <name val="Arial"/>
      <family val="2"/>
    </font>
    <font>
      <b/>
      <sz val="10"/>
      <color indexed="8"/>
      <name val="Arial"/>
      <family val="2"/>
    </font>
    <font>
      <sz val="16"/>
      <name val="Wingdings"/>
      <charset val="2"/>
    </font>
    <font>
      <b/>
      <sz val="16"/>
      <name val="Wingdings"/>
      <charset val="2"/>
    </font>
    <font>
      <strike/>
      <sz val="16"/>
      <name val="Wingdings"/>
      <charset val="2"/>
    </font>
    <font>
      <strike/>
      <sz val="10"/>
      <name val="Arial"/>
      <family val="2"/>
    </font>
    <font>
      <b/>
      <strike/>
      <sz val="10"/>
      <name val="Arial"/>
      <family val="2"/>
    </font>
    <font>
      <b/>
      <sz val="16"/>
      <color theme="8" tint="-0.249977111117893"/>
      <name val="Wingdings"/>
      <charset val="2"/>
    </font>
    <font>
      <b/>
      <sz val="10"/>
      <color theme="8" tint="-0.249977111117893"/>
      <name val="Arial"/>
      <family val="2"/>
    </font>
    <font>
      <b/>
      <sz val="10"/>
      <color rgb="FF0000FF"/>
      <name val="Arial"/>
      <family val="2"/>
    </font>
    <font>
      <b/>
      <sz val="16"/>
      <color rgb="FF0000FF"/>
      <name val="Wingdings"/>
      <charset val="2"/>
    </font>
    <font>
      <b/>
      <i/>
      <sz val="16"/>
      <name val="Wingdings"/>
      <charset val="2"/>
    </font>
    <font>
      <i/>
      <sz val="10"/>
      <color theme="9" tint="-0.499984740745262"/>
      <name val="Arial"/>
      <family val="2"/>
    </font>
    <font>
      <sz val="16"/>
      <name val="Arial"/>
      <family val="2"/>
    </font>
    <font>
      <sz val="16"/>
      <color rgb="FFFF0000"/>
      <name val="Arial"/>
      <family val="2"/>
    </font>
    <font>
      <b/>
      <sz val="16"/>
      <name val="Arial"/>
      <family val="2"/>
    </font>
    <font>
      <sz val="16"/>
      <color theme="1"/>
      <name val="Arial"/>
      <family val="2"/>
    </font>
    <font>
      <i/>
      <u/>
      <sz val="10"/>
      <name val="Arial"/>
      <family val="2"/>
    </font>
    <font>
      <sz val="10"/>
      <color rgb="FF00B0F0"/>
      <name val="Arial"/>
      <family val="2"/>
    </font>
    <font>
      <strike/>
      <sz val="10"/>
      <color rgb="FF00B0F0"/>
      <name val="Arial"/>
      <family val="2"/>
    </font>
    <font>
      <b/>
      <i/>
      <sz val="16"/>
      <color theme="1"/>
      <name val="Wingdings"/>
      <charset val="2"/>
    </font>
    <font>
      <sz val="10"/>
      <name val="Webdings"/>
      <family val="1"/>
      <charset val="2"/>
    </font>
    <font>
      <sz val="11"/>
      <name val="Arial"/>
      <family val="2"/>
    </font>
    <font>
      <sz val="11"/>
      <color rgb="FFFF0000"/>
      <name val="Arial"/>
      <family val="2"/>
    </font>
    <font>
      <b/>
      <sz val="22"/>
      <color rgb="FFFF0000"/>
      <name val="Calibri"/>
      <family val="2"/>
      <scheme val="minor"/>
    </font>
    <font>
      <sz val="10"/>
      <color rgb="FF000000"/>
      <name val="Arial"/>
      <family val="2"/>
    </font>
    <font>
      <b/>
      <sz val="14"/>
      <color rgb="FFFF0000"/>
      <name val="Arial"/>
      <family val="2"/>
    </font>
    <font>
      <u/>
      <sz val="11"/>
      <color theme="10"/>
      <name val="Calibri"/>
      <family val="2"/>
      <scheme val="minor"/>
    </font>
    <font>
      <u/>
      <sz val="11"/>
      <color theme="10"/>
      <name val="Arial"/>
      <family val="2"/>
    </font>
    <font>
      <b/>
      <sz val="11"/>
      <name val="Arial"/>
      <family val="2"/>
    </font>
    <font>
      <b/>
      <sz val="11"/>
      <color rgb="FF000000"/>
      <name val="Arial"/>
      <family val="2"/>
    </font>
    <font>
      <i/>
      <sz val="11"/>
      <color theme="1"/>
      <name val="Calibri"/>
      <family val="2"/>
      <scheme val="minor"/>
    </font>
    <font>
      <b/>
      <sz val="16"/>
      <color rgb="FFFF0000"/>
      <name val="Calibri"/>
      <family val="2"/>
      <scheme val="minor"/>
    </font>
    <font>
      <b/>
      <sz val="11"/>
      <color rgb="FFFF0000"/>
      <name val="Calibri"/>
      <family val="2"/>
      <scheme val="minor"/>
    </font>
    <font>
      <b/>
      <sz val="11"/>
      <color rgb="FF0000FF"/>
      <name val="Calibri"/>
      <family val="2"/>
      <scheme val="minor"/>
    </font>
    <font>
      <sz val="12"/>
      <color rgb="FFFF0000"/>
      <name val="Calibri"/>
      <family val="2"/>
      <scheme val="minor"/>
    </font>
    <font>
      <b/>
      <u/>
      <sz val="12"/>
      <color rgb="FFFF000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s>
  <borders count="36">
    <border>
      <left/>
      <right/>
      <top/>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style="thin">
        <color auto="1"/>
      </right>
      <top style="thin">
        <color auto="1"/>
      </top>
      <bottom/>
      <diagonal/>
    </border>
    <border>
      <left style="medium">
        <color indexed="64"/>
      </left>
      <right style="medium">
        <color indexed="64"/>
      </right>
      <top/>
      <bottom/>
      <diagonal/>
    </border>
    <border>
      <left style="thin">
        <color auto="1"/>
      </left>
      <right style="thin">
        <color auto="1"/>
      </right>
      <top/>
      <bottom style="thin">
        <color auto="1"/>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medium">
        <color auto="1"/>
      </bottom>
      <diagonal/>
    </border>
    <border>
      <left style="medium">
        <color auto="1"/>
      </left>
      <right style="medium">
        <color auto="1"/>
      </right>
      <top style="medium">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s>
  <cellStyleXfs count="23">
    <xf numFmtId="0" fontId="0" fillId="0" borderId="0"/>
    <xf numFmtId="44" fontId="1" fillId="0" borderId="0" applyFont="0" applyFill="0" applyBorder="0" applyAlignment="0" applyProtection="0"/>
    <xf numFmtId="0" fontId="5" fillId="0" borderId="0"/>
    <xf numFmtId="0" fontId="5" fillId="0" borderId="0"/>
    <xf numFmtId="164" fontId="5" fillId="0" borderId="0"/>
    <xf numFmtId="164" fontId="5" fillId="0" borderId="0"/>
    <xf numFmtId="0" fontId="1" fillId="0" borderId="0"/>
    <xf numFmtId="165" fontId="5" fillId="0" borderId="0"/>
    <xf numFmtId="164" fontId="5" fillId="0" borderId="0"/>
    <xf numFmtId="164" fontId="5" fillId="0" borderId="0"/>
    <xf numFmtId="164" fontId="5" fillId="0" borderId="0"/>
    <xf numFmtId="164" fontId="5" fillId="0" borderId="0"/>
    <xf numFmtId="167" fontId="5" fillId="0" borderId="0"/>
    <xf numFmtId="0" fontId="1" fillId="0" borderId="0"/>
    <xf numFmtId="164" fontId="5" fillId="0" borderId="0"/>
    <xf numFmtId="0" fontId="5" fillId="0" borderId="0"/>
    <xf numFmtId="0" fontId="1" fillId="0" borderId="0"/>
    <xf numFmtId="0" fontId="5" fillId="0" borderId="0"/>
    <xf numFmtId="164" fontId="5" fillId="0" borderId="0"/>
    <xf numFmtId="165" fontId="5" fillId="0" borderId="0"/>
    <xf numFmtId="0" fontId="5" fillId="0" borderId="0"/>
    <xf numFmtId="0" fontId="1" fillId="0" borderId="0"/>
    <xf numFmtId="0" fontId="43" fillId="0" borderId="0" applyNumberFormat="0" applyFill="0" applyBorder="0" applyAlignment="0" applyProtection="0"/>
  </cellStyleXfs>
  <cellXfs count="1073">
    <xf numFmtId="0" fontId="0" fillId="0" borderId="0" xfId="0"/>
    <xf numFmtId="0" fontId="4" fillId="0" borderId="0" xfId="0" applyFont="1" applyAlignment="1">
      <alignment vertical="center"/>
    </xf>
    <xf numFmtId="0" fontId="7" fillId="0" borderId="0" xfId="0" applyFont="1" applyAlignment="1">
      <alignment wrapText="1"/>
    </xf>
    <xf numFmtId="0" fontId="7" fillId="0" borderId="0" xfId="0" applyFont="1" applyAlignment="1">
      <alignment vertical="top" wrapText="1"/>
    </xf>
    <xf numFmtId="0" fontId="7" fillId="0" borderId="0" xfId="0" applyFont="1"/>
    <xf numFmtId="0" fontId="7" fillId="0" borderId="0" xfId="0" applyFont="1" applyAlignment="1">
      <alignment vertical="top"/>
    </xf>
    <xf numFmtId="0" fontId="7" fillId="0" borderId="0" xfId="0" applyFont="1" applyAlignment="1">
      <alignment vertical="center" wrapText="1"/>
    </xf>
    <xf numFmtId="0" fontId="7" fillId="0" borderId="0" xfId="0" applyFont="1" applyAlignment="1">
      <alignment vertical="center"/>
    </xf>
    <xf numFmtId="0" fontId="9" fillId="2" borderId="0" xfId="0" applyFont="1" applyFill="1" applyAlignment="1">
      <alignment vertical="top" wrapText="1"/>
    </xf>
    <xf numFmtId="0" fontId="10" fillId="0" borderId="1" xfId="4" applyNumberFormat="1" applyFont="1" applyBorder="1" applyAlignment="1">
      <alignment horizontal="left" vertical="top"/>
    </xf>
    <xf numFmtId="0" fontId="6" fillId="2" borderId="2" xfId="4" applyNumberFormat="1" applyFont="1" applyFill="1" applyBorder="1" applyAlignment="1">
      <alignment horizontal="center" vertical="top" wrapText="1"/>
    </xf>
    <xf numFmtId="0" fontId="6" fillId="2" borderId="3" xfId="4" applyNumberFormat="1" applyFont="1" applyFill="1" applyBorder="1" applyAlignment="1">
      <alignment horizontal="center" vertical="top" wrapText="1"/>
    </xf>
    <xf numFmtId="0" fontId="7" fillId="0" borderId="2" xfId="3" applyFont="1" applyBorder="1" applyAlignment="1">
      <alignment horizontal="left" vertical="top"/>
    </xf>
    <xf numFmtId="0" fontId="5" fillId="2" borderId="2" xfId="4" applyNumberFormat="1" applyFill="1" applyBorder="1" applyAlignment="1">
      <alignment horizontal="center" vertical="top" wrapText="1"/>
    </xf>
    <xf numFmtId="0" fontId="5" fillId="2" borderId="3" xfId="4" applyNumberFormat="1" applyFill="1" applyBorder="1" applyAlignment="1">
      <alignment horizontal="center" vertical="top" wrapText="1"/>
    </xf>
    <xf numFmtId="0" fontId="6" fillId="0" borderId="4" xfId="4" applyNumberFormat="1" applyFont="1" applyBorder="1" applyAlignment="1">
      <alignment horizontal="left" vertical="top" wrapText="1"/>
    </xf>
    <xf numFmtId="0" fontId="6" fillId="2" borderId="5" xfId="4" applyNumberFormat="1" applyFont="1" applyFill="1" applyBorder="1" applyAlignment="1">
      <alignment horizontal="center" vertical="top" wrapText="1"/>
    </xf>
    <xf numFmtId="0" fontId="6" fillId="2" borderId="6" xfId="4" applyNumberFormat="1" applyFont="1" applyFill="1" applyBorder="1" applyAlignment="1">
      <alignment horizontal="center" vertical="top" wrapText="1"/>
    </xf>
    <xf numFmtId="0" fontId="7" fillId="0" borderId="7" xfId="3" applyFont="1" applyBorder="1" applyAlignment="1">
      <alignment horizontal="left" vertical="top" wrapText="1" indent="1"/>
    </xf>
    <xf numFmtId="0" fontId="7" fillId="0" borderId="0" xfId="3" applyFont="1" applyAlignment="1">
      <alignment horizontal="left" vertical="top"/>
    </xf>
    <xf numFmtId="0" fontId="5" fillId="0" borderId="5" xfId="4" applyNumberFormat="1" applyBorder="1" applyAlignment="1">
      <alignment horizontal="left" vertical="top" wrapText="1" indent="1"/>
    </xf>
    <xf numFmtId="0" fontId="5" fillId="2" borderId="5" xfId="4" applyNumberFormat="1" applyFill="1" applyBorder="1" applyAlignment="1">
      <alignment horizontal="center" vertical="top" wrapText="1"/>
    </xf>
    <xf numFmtId="0" fontId="5" fillId="2" borderId="6" xfId="4" applyNumberFormat="1" applyFill="1" applyBorder="1" applyAlignment="1">
      <alignment horizontal="center" vertical="top" wrapText="1"/>
    </xf>
    <xf numFmtId="0" fontId="11" fillId="0" borderId="1" xfId="3" applyFont="1" applyBorder="1" applyAlignment="1">
      <alignment horizontal="left" vertical="top"/>
    </xf>
    <xf numFmtId="0" fontId="7" fillId="0" borderId="3" xfId="3" applyFont="1" applyBorder="1" applyAlignment="1">
      <alignment horizontal="left" vertical="top" wrapText="1"/>
    </xf>
    <xf numFmtId="0" fontId="6" fillId="0" borderId="7" xfId="0" applyFont="1" applyBorder="1" applyAlignment="1">
      <alignment horizontal="left" indent="1"/>
    </xf>
    <xf numFmtId="0" fontId="7" fillId="0" borderId="7" xfId="3" applyFont="1" applyBorder="1" applyAlignment="1">
      <alignment horizontal="center" vertical="top" wrapText="1"/>
    </xf>
    <xf numFmtId="0" fontId="7" fillId="0" borderId="0" xfId="0" applyFont="1" applyAlignment="1">
      <alignment horizontal="left" vertical="center"/>
    </xf>
    <xf numFmtId="0" fontId="7" fillId="2" borderId="0" xfId="0" applyFont="1" applyFill="1" applyAlignment="1">
      <alignment horizontal="left" vertical="center"/>
    </xf>
    <xf numFmtId="0" fontId="7" fillId="2" borderId="8" xfId="0" applyFont="1" applyFill="1" applyBorder="1" applyAlignment="1">
      <alignment horizontal="left" vertical="center"/>
    </xf>
    <xf numFmtId="0" fontId="11" fillId="0" borderId="7" xfId="3" applyFont="1" applyBorder="1" applyAlignment="1">
      <alignment horizontal="left" vertical="top"/>
    </xf>
    <xf numFmtId="0" fontId="12" fillId="2" borderId="7" xfId="0" applyFont="1" applyFill="1" applyBorder="1" applyAlignment="1">
      <alignment horizontal="left" vertical="center" wrapText="1" indent="1"/>
    </xf>
    <xf numFmtId="0" fontId="13" fillId="0" borderId="0" xfId="0" applyFont="1" applyAlignment="1">
      <alignment horizontal="left" vertical="center"/>
    </xf>
    <xf numFmtId="0" fontId="13" fillId="2" borderId="0" xfId="0" applyFont="1" applyFill="1" applyAlignment="1">
      <alignment horizontal="left" vertical="center"/>
    </xf>
    <xf numFmtId="0" fontId="13" fillId="2" borderId="8" xfId="0" applyFont="1" applyFill="1" applyBorder="1" applyAlignment="1">
      <alignment horizontal="left" vertical="center"/>
    </xf>
    <xf numFmtId="0" fontId="14" fillId="0" borderId="0" xfId="0" applyFont="1" applyAlignment="1">
      <alignment horizontal="left" vertical="center"/>
    </xf>
    <xf numFmtId="0" fontId="13" fillId="2" borderId="7" xfId="0" applyFont="1" applyFill="1" applyBorder="1" applyAlignment="1">
      <alignment horizontal="left" vertical="center" wrapText="1" indent="1"/>
    </xf>
    <xf numFmtId="0" fontId="15" fillId="2" borderId="7" xfId="0" applyFont="1" applyFill="1" applyBorder="1" applyAlignment="1">
      <alignment horizontal="left" vertical="center" wrapText="1" indent="1"/>
    </xf>
    <xf numFmtId="0" fontId="15" fillId="2" borderId="0" xfId="0" applyFont="1" applyFill="1" applyAlignment="1">
      <alignment horizontal="left" vertical="top"/>
    </xf>
    <xf numFmtId="0" fontId="14" fillId="2" borderId="0" xfId="0" applyFont="1" applyFill="1" applyAlignment="1">
      <alignment horizontal="left" vertical="center"/>
    </xf>
    <xf numFmtId="0" fontId="6" fillId="0" borderId="7" xfId="4" applyNumberFormat="1" applyFont="1" applyBorder="1" applyAlignment="1">
      <alignment horizontal="center" vertical="top" wrapText="1"/>
    </xf>
    <xf numFmtId="0" fontId="16" fillId="0" borderId="0" xfId="0" applyFont="1" applyAlignment="1">
      <alignment horizontal="left" indent="1"/>
    </xf>
    <xf numFmtId="0" fontId="16" fillId="0" borderId="0" xfId="0" applyFont="1" applyAlignment="1">
      <alignment horizontal="left" indent="2"/>
    </xf>
    <xf numFmtId="0" fontId="13" fillId="2" borderId="4" xfId="0" applyFont="1" applyFill="1" applyBorder="1" applyAlignment="1">
      <alignment horizontal="left" wrapText="1" indent="1"/>
    </xf>
    <xf numFmtId="0" fontId="13" fillId="0" borderId="0" xfId="0" applyFont="1" applyAlignment="1">
      <alignment horizontal="center" vertical="top" wrapText="1"/>
    </xf>
    <xf numFmtId="0" fontId="7" fillId="0" borderId="0" xfId="0" applyFont="1" applyAlignment="1">
      <alignment horizontal="center" vertical="top" wrapText="1"/>
    </xf>
    <xf numFmtId="0" fontId="7" fillId="0" borderId="8" xfId="0" applyFont="1" applyBorder="1" applyAlignment="1">
      <alignment horizontal="left" vertical="top" wrapText="1"/>
    </xf>
    <xf numFmtId="0" fontId="6" fillId="2" borderId="2" xfId="4" applyNumberFormat="1" applyFont="1" applyFill="1" applyBorder="1" applyAlignment="1">
      <alignment horizontal="left" vertical="top"/>
    </xf>
    <xf numFmtId="0" fontId="11" fillId="0" borderId="1" xfId="2" applyFont="1" applyBorder="1" applyAlignment="1">
      <alignment horizontal="left" vertical="top"/>
    </xf>
    <xf numFmtId="0" fontId="10" fillId="2" borderId="2" xfId="4" applyNumberFormat="1" applyFont="1" applyFill="1" applyBorder="1" applyAlignment="1">
      <alignment horizontal="left" vertical="top" indent="1"/>
    </xf>
    <xf numFmtId="0" fontId="10" fillId="0" borderId="2" xfId="4" applyNumberFormat="1" applyFont="1" applyBorder="1" applyAlignment="1">
      <alignment horizontal="left" vertical="top" indent="1"/>
    </xf>
    <xf numFmtId="0" fontId="6" fillId="0" borderId="0" xfId="4" applyNumberFormat="1" applyFont="1" applyAlignment="1">
      <alignment vertical="center" wrapText="1"/>
    </xf>
    <xf numFmtId="0" fontId="6" fillId="2" borderId="7" xfId="5" applyNumberFormat="1" applyFont="1" applyFill="1" applyBorder="1" applyAlignment="1">
      <alignment horizontal="left" indent="1"/>
    </xf>
    <xf numFmtId="0" fontId="10" fillId="2" borderId="0" xfId="4" applyNumberFormat="1" applyFont="1" applyFill="1" applyAlignment="1">
      <alignment horizontal="left" vertical="top" indent="1"/>
    </xf>
    <xf numFmtId="0" fontId="10" fillId="0" borderId="0" xfId="4" applyNumberFormat="1" applyFont="1" applyAlignment="1">
      <alignment horizontal="left" vertical="top" indent="1"/>
    </xf>
    <xf numFmtId="0" fontId="5" fillId="2" borderId="0" xfId="4" applyNumberFormat="1" applyFill="1" applyAlignment="1">
      <alignment horizontal="center" vertical="top" wrapText="1"/>
    </xf>
    <xf numFmtId="0" fontId="5" fillId="2" borderId="8" xfId="4" applyNumberFormat="1" applyFill="1" applyBorder="1" applyAlignment="1">
      <alignment horizontal="center" vertical="top" wrapText="1"/>
    </xf>
    <xf numFmtId="0" fontId="11" fillId="0" borderId="7" xfId="2" applyFont="1" applyBorder="1" applyAlignment="1">
      <alignment horizontal="left" vertical="top"/>
    </xf>
    <xf numFmtId="0" fontId="6" fillId="0" borderId="0" xfId="4" applyNumberFormat="1" applyFont="1" applyAlignment="1">
      <alignment vertical="center"/>
    </xf>
    <xf numFmtId="0" fontId="10" fillId="0" borderId="7" xfId="3" applyFont="1" applyBorder="1" applyAlignment="1">
      <alignment horizontal="left" vertical="top"/>
    </xf>
    <xf numFmtId="165" fontId="6" fillId="2" borderId="7" xfId="2" applyNumberFormat="1" applyFont="1" applyFill="1" applyBorder="1" applyAlignment="1">
      <alignment horizontal="left" indent="1"/>
    </xf>
    <xf numFmtId="165" fontId="6" fillId="0" borderId="0" xfId="2" applyNumberFormat="1" applyFont="1" applyAlignment="1">
      <alignment horizontal="left" vertical="top" wrapText="1"/>
    </xf>
    <xf numFmtId="164" fontId="6" fillId="2" borderId="7" xfId="4" applyFont="1" applyFill="1" applyBorder="1" applyAlignment="1">
      <alignment horizontal="left" indent="1"/>
    </xf>
    <xf numFmtId="0" fontId="6" fillId="0" borderId="7" xfId="4" applyNumberFormat="1" applyFont="1" applyBorder="1" applyAlignment="1">
      <alignment horizontal="left" indent="1"/>
    </xf>
    <xf numFmtId="0" fontId="6" fillId="0" borderId="0" xfId="4" applyNumberFormat="1" applyFont="1" applyAlignment="1">
      <alignment horizontal="left" indent="1"/>
    </xf>
    <xf numFmtId="0" fontId="6" fillId="0" borderId="0" xfId="4" applyNumberFormat="1" applyFont="1" applyAlignment="1">
      <alignment vertical="top" wrapText="1"/>
    </xf>
    <xf numFmtId="0" fontId="6" fillId="2" borderId="0" xfId="4" applyNumberFormat="1" applyFont="1" applyFill="1" applyAlignment="1">
      <alignment vertical="center"/>
    </xf>
    <xf numFmtId="0" fontId="15" fillId="0" borderId="0" xfId="4" applyNumberFormat="1" applyFont="1" applyAlignment="1">
      <alignment horizontal="left" vertical="top" indent="1"/>
    </xf>
    <xf numFmtId="0" fontId="6" fillId="0" borderId="8" xfId="4" applyNumberFormat="1" applyFont="1" applyBorder="1" applyAlignment="1">
      <alignment horizontal="left" vertical="top" wrapText="1"/>
    </xf>
    <xf numFmtId="164" fontId="6" fillId="2" borderId="0" xfId="4" applyFont="1" applyFill="1" applyAlignment="1">
      <alignment horizontal="left" indent="1"/>
    </xf>
    <xf numFmtId="164" fontId="6" fillId="2" borderId="8" xfId="4" applyFont="1" applyFill="1" applyBorder="1" applyAlignment="1">
      <alignment horizontal="left" indent="1"/>
    </xf>
    <xf numFmtId="0" fontId="6" fillId="2" borderId="8" xfId="4" applyNumberFormat="1" applyFont="1" applyFill="1" applyBorder="1" applyAlignment="1">
      <alignment horizontal="left" vertical="top" wrapText="1"/>
    </xf>
    <xf numFmtId="0" fontId="10" fillId="0" borderId="7" xfId="4" applyNumberFormat="1" applyFont="1" applyBorder="1" applyAlignment="1">
      <alignment horizontal="left" vertical="top"/>
    </xf>
    <xf numFmtId="0" fontId="13" fillId="0" borderId="8" xfId="4" applyNumberFormat="1" applyFont="1" applyBorder="1" applyAlignment="1">
      <alignment horizontal="left" vertical="top" wrapText="1"/>
    </xf>
    <xf numFmtId="0" fontId="7" fillId="0" borderId="7" xfId="0" applyFont="1" applyBorder="1" applyAlignment="1">
      <alignment vertical="center"/>
    </xf>
    <xf numFmtId="164" fontId="17" fillId="2" borderId="7" xfId="4" applyFont="1" applyFill="1" applyBorder="1" applyAlignment="1">
      <alignment horizontal="left" indent="1"/>
    </xf>
    <xf numFmtId="164" fontId="17" fillId="2" borderId="0" xfId="4" applyFont="1" applyFill="1" applyAlignment="1">
      <alignment horizontal="left" indent="1"/>
    </xf>
    <xf numFmtId="164" fontId="17" fillId="2" borderId="8" xfId="4" applyFont="1" applyFill="1" applyBorder="1" applyAlignment="1">
      <alignment horizontal="left" indent="1"/>
    </xf>
    <xf numFmtId="0" fontId="5" fillId="2" borderId="0" xfId="4" applyNumberFormat="1" applyFill="1" applyAlignment="1">
      <alignment horizontal="left" vertical="top" wrapText="1" indent="1"/>
    </xf>
    <xf numFmtId="0" fontId="5" fillId="0" borderId="0" xfId="4" applyNumberFormat="1" applyAlignment="1">
      <alignment horizontal="left" vertical="top" wrapText="1" indent="1"/>
    </xf>
    <xf numFmtId="0" fontId="6" fillId="2" borderId="7" xfId="0" applyFont="1" applyFill="1" applyBorder="1" applyAlignment="1">
      <alignment horizontal="left" vertical="center" indent="1"/>
    </xf>
    <xf numFmtId="0" fontId="6" fillId="2" borderId="0" xfId="0" applyFont="1" applyFill="1" applyAlignment="1">
      <alignment horizontal="left" vertical="center" indent="1"/>
    </xf>
    <xf numFmtId="0" fontId="6" fillId="2" borderId="8" xfId="0" applyFont="1" applyFill="1" applyBorder="1" applyAlignment="1">
      <alignment horizontal="left" vertical="center" indent="1"/>
    </xf>
    <xf numFmtId="0" fontId="6" fillId="0" borderId="4" xfId="4" applyNumberFormat="1" applyFont="1" applyBorder="1" applyAlignment="1">
      <alignment horizontal="left" vertical="top"/>
    </xf>
    <xf numFmtId="0" fontId="6" fillId="2" borderId="5" xfId="4" applyNumberFormat="1" applyFont="1" applyFill="1" applyBorder="1" applyAlignment="1">
      <alignment horizontal="left" vertical="top"/>
    </xf>
    <xf numFmtId="0" fontId="5" fillId="2" borderId="4" xfId="4" applyNumberFormat="1" applyFill="1" applyBorder="1" applyAlignment="1">
      <alignment horizontal="left" vertical="top" wrapText="1" indent="1"/>
    </xf>
    <xf numFmtId="0" fontId="5" fillId="2" borderId="5" xfId="4" applyNumberFormat="1" applyFill="1" applyBorder="1" applyAlignment="1">
      <alignment horizontal="left" vertical="top" wrapText="1" indent="1"/>
    </xf>
    <xf numFmtId="0" fontId="6" fillId="0" borderId="0" xfId="4" applyNumberFormat="1" applyFont="1" applyAlignment="1">
      <alignment horizontal="center" vertical="top" wrapText="1"/>
    </xf>
    <xf numFmtId="0" fontId="6" fillId="2" borderId="0" xfId="4" applyNumberFormat="1" applyFont="1" applyFill="1" applyAlignment="1">
      <alignment horizontal="center" vertical="top" wrapText="1"/>
    </xf>
    <xf numFmtId="0" fontId="5" fillId="2" borderId="0" xfId="4" applyNumberFormat="1" applyFill="1" applyAlignment="1">
      <alignment vertical="top" wrapText="1"/>
    </xf>
    <xf numFmtId="0" fontId="5" fillId="0" borderId="0" xfId="4" applyNumberFormat="1" applyAlignment="1">
      <alignment vertical="top" wrapText="1"/>
    </xf>
    <xf numFmtId="0" fontId="6" fillId="0" borderId="0" xfId="4" applyNumberFormat="1" applyFont="1" applyAlignment="1">
      <alignment vertical="top"/>
    </xf>
    <xf numFmtId="17" fontId="6" fillId="2" borderId="5" xfId="4" applyNumberFormat="1" applyFont="1" applyFill="1" applyBorder="1" applyAlignment="1">
      <alignment horizontal="center" vertical="top" wrapText="1"/>
    </xf>
    <xf numFmtId="0" fontId="6" fillId="3" borderId="9" xfId="4" applyNumberFormat="1" applyFont="1" applyFill="1" applyBorder="1" applyAlignment="1">
      <alignment vertical="center" wrapText="1"/>
    </xf>
    <xf numFmtId="0" fontId="5" fillId="3" borderId="9" xfId="4" applyNumberFormat="1" applyFill="1" applyBorder="1" applyAlignment="1">
      <alignment vertical="center" wrapText="1"/>
    </xf>
    <xf numFmtId="0" fontId="5" fillId="2" borderId="0" xfId="4" applyNumberFormat="1" applyFill="1" applyAlignment="1">
      <alignment horizontal="center" vertical="center" wrapText="1"/>
    </xf>
    <xf numFmtId="0" fontId="5" fillId="2" borderId="0" xfId="4" applyNumberFormat="1" applyFill="1" applyAlignment="1">
      <alignment vertical="center" wrapText="1"/>
    </xf>
    <xf numFmtId="0" fontId="6" fillId="2" borderId="0" xfId="4" applyNumberFormat="1" applyFont="1" applyFill="1" applyAlignment="1">
      <alignment horizontal="center" vertical="center" wrapText="1"/>
    </xf>
    <xf numFmtId="0" fontId="6" fillId="2" borderId="0" xfId="4" applyNumberFormat="1" applyFont="1" applyFill="1" applyAlignment="1">
      <alignment vertical="center" wrapText="1"/>
    </xf>
    <xf numFmtId="0" fontId="6" fillId="2" borderId="0" xfId="4" applyNumberFormat="1" applyFont="1" applyFill="1" applyAlignment="1">
      <alignment horizontal="justify" vertical="center" wrapText="1"/>
    </xf>
    <xf numFmtId="0" fontId="5" fillId="2" borderId="0" xfId="6" applyFont="1" applyFill="1" applyAlignment="1">
      <alignment vertical="top" wrapText="1"/>
    </xf>
    <xf numFmtId="0" fontId="18" fillId="2" borderId="0" xfId="4" applyNumberFormat="1" applyFont="1" applyFill="1" applyAlignment="1">
      <alignment horizontal="center" vertical="top" wrapText="1"/>
    </xf>
    <xf numFmtId="166" fontId="5" fillId="2" borderId="0" xfId="4" applyNumberFormat="1" applyFill="1" applyAlignment="1">
      <alignment vertical="top" wrapText="1"/>
    </xf>
    <xf numFmtId="0" fontId="7" fillId="2" borderId="0" xfId="0" applyFont="1" applyFill="1" applyAlignment="1">
      <alignment vertical="center" wrapText="1"/>
    </xf>
    <xf numFmtId="0" fontId="7" fillId="2" borderId="0" xfId="0" applyFont="1" applyFill="1" applyAlignment="1">
      <alignment vertical="top" wrapText="1"/>
    </xf>
    <xf numFmtId="0" fontId="7" fillId="2" borderId="0" xfId="0" applyFont="1" applyFill="1" applyAlignment="1">
      <alignment vertical="center"/>
    </xf>
    <xf numFmtId="0" fontId="6" fillId="2" borderId="0" xfId="6" applyFont="1" applyFill="1" applyAlignment="1">
      <alignment vertical="top" wrapText="1"/>
    </xf>
    <xf numFmtId="0" fontId="19" fillId="2" borderId="0" xfId="4" applyNumberFormat="1" applyFont="1" applyFill="1" applyAlignment="1">
      <alignment horizontal="center" vertical="top" wrapText="1"/>
    </xf>
    <xf numFmtId="166" fontId="6" fillId="2" borderId="0" xfId="4" applyNumberFormat="1" applyFont="1" applyFill="1" applyAlignment="1">
      <alignment horizontal="center" vertical="top" wrapText="1"/>
    </xf>
    <xf numFmtId="0" fontId="13" fillId="2" borderId="0" xfId="0" applyFont="1" applyFill="1" applyAlignment="1">
      <alignment vertical="center" wrapText="1"/>
    </xf>
    <xf numFmtId="0" fontId="13" fillId="0" borderId="0" xfId="0" applyFont="1" applyAlignment="1">
      <alignment vertical="center"/>
    </xf>
    <xf numFmtId="0" fontId="5" fillId="0" borderId="0" xfId="6" applyFont="1" applyAlignment="1">
      <alignment vertical="top" wrapText="1"/>
    </xf>
    <xf numFmtId="0" fontId="19" fillId="2" borderId="0" xfId="0" applyFont="1" applyFill="1" applyAlignment="1">
      <alignment horizontal="center" vertical="top" wrapText="1"/>
    </xf>
    <xf numFmtId="0" fontId="18" fillId="3" borderId="9" xfId="4" applyNumberFormat="1" applyFont="1" applyFill="1" applyBorder="1" applyAlignment="1">
      <alignment vertical="center" wrapText="1"/>
    </xf>
    <xf numFmtId="166" fontId="5" fillId="2" borderId="0" xfId="4" applyNumberFormat="1" applyFill="1" applyAlignment="1">
      <alignment vertical="center" wrapText="1"/>
    </xf>
    <xf numFmtId="0" fontId="6" fillId="0" borderId="0" xfId="6" applyFont="1" applyAlignment="1">
      <alignment vertical="top" wrapText="1"/>
    </xf>
    <xf numFmtId="0" fontId="20" fillId="2" borderId="0" xfId="4" applyNumberFormat="1" applyFont="1" applyFill="1" applyAlignment="1">
      <alignment horizontal="center" vertical="top" wrapText="1"/>
    </xf>
    <xf numFmtId="165" fontId="19" fillId="2" borderId="0" xfId="6" applyNumberFormat="1" applyFont="1" applyFill="1" applyAlignment="1">
      <alignment horizontal="center" vertical="top" wrapText="1"/>
    </xf>
    <xf numFmtId="166" fontId="6" fillId="0" borderId="0" xfId="4" applyNumberFormat="1" applyFont="1" applyAlignment="1">
      <alignment horizontal="center" vertical="top" wrapText="1"/>
    </xf>
    <xf numFmtId="49" fontId="19" fillId="2" borderId="0" xfId="6" applyNumberFormat="1" applyFont="1" applyFill="1" applyAlignment="1">
      <alignment horizontal="center" vertical="top" wrapText="1"/>
    </xf>
    <xf numFmtId="0" fontId="5" fillId="0" borderId="0" xfId="0" applyFont="1" applyAlignment="1">
      <alignment vertical="center" wrapText="1"/>
    </xf>
    <xf numFmtId="0" fontId="5" fillId="0" borderId="0" xfId="0" applyFont="1" applyAlignment="1">
      <alignment vertical="center"/>
    </xf>
    <xf numFmtId="165" fontId="18" fillId="2" borderId="0" xfId="6" applyNumberFormat="1" applyFont="1" applyFill="1" applyAlignment="1">
      <alignment horizontal="center" vertical="top" wrapText="1"/>
    </xf>
    <xf numFmtId="166" fontId="5" fillId="2" borderId="0" xfId="4" applyNumberFormat="1" applyFill="1" applyAlignment="1">
      <alignment horizontal="center" vertical="top" wrapText="1"/>
    </xf>
    <xf numFmtId="0" fontId="18" fillId="0" borderId="0" xfId="4" applyNumberFormat="1" applyFont="1" applyAlignment="1">
      <alignment horizontal="center" vertical="top" wrapText="1"/>
    </xf>
    <xf numFmtId="166" fontId="5" fillId="0" borderId="0" xfId="4" applyNumberFormat="1" applyAlignment="1">
      <alignment horizontal="center" vertical="top" wrapText="1"/>
    </xf>
    <xf numFmtId="0" fontId="5" fillId="0" borderId="0" xfId="4" applyNumberFormat="1" applyAlignment="1">
      <alignment horizontal="center" vertical="top" wrapText="1"/>
    </xf>
    <xf numFmtId="0" fontId="19" fillId="0" borderId="0" xfId="4" applyNumberFormat="1" applyFont="1" applyAlignment="1">
      <alignment horizontal="center" vertical="top" wrapText="1"/>
    </xf>
    <xf numFmtId="0" fontId="23" fillId="2" borderId="0" xfId="4" applyNumberFormat="1" applyFont="1" applyFill="1" applyAlignment="1">
      <alignment horizontal="center" vertical="top" wrapText="1"/>
    </xf>
    <xf numFmtId="0" fontId="25" fillId="0" borderId="0" xfId="6" applyFont="1" applyAlignment="1">
      <alignment vertical="top" wrapText="1"/>
    </xf>
    <xf numFmtId="49" fontId="26" fillId="2" borderId="0" xfId="6" applyNumberFormat="1" applyFont="1" applyFill="1" applyAlignment="1">
      <alignment horizontal="center" vertical="top" wrapText="1"/>
    </xf>
    <xf numFmtId="0" fontId="25" fillId="0" borderId="0" xfId="4" applyNumberFormat="1" applyFont="1" applyAlignment="1">
      <alignment vertical="top" wrapText="1"/>
    </xf>
    <xf numFmtId="166" fontId="25" fillId="0" borderId="0" xfId="4" applyNumberFormat="1" applyFont="1" applyAlignment="1">
      <alignment horizontal="center" vertical="top" wrapText="1"/>
    </xf>
    <xf numFmtId="0" fontId="25" fillId="2" borderId="0" xfId="4" applyNumberFormat="1" applyFont="1" applyFill="1" applyAlignment="1">
      <alignment horizontal="center" vertical="top" wrapText="1"/>
    </xf>
    <xf numFmtId="0" fontId="6" fillId="0" borderId="0" xfId="0" applyFont="1" applyAlignment="1">
      <alignment vertical="center" wrapText="1"/>
    </xf>
    <xf numFmtId="0" fontId="6" fillId="0" borderId="0" xfId="0" applyFont="1" applyAlignment="1">
      <alignment vertical="center"/>
    </xf>
    <xf numFmtId="0" fontId="16" fillId="2" borderId="0" xfId="6" applyFont="1" applyFill="1" applyAlignment="1">
      <alignment vertical="top" wrapText="1"/>
    </xf>
    <xf numFmtId="0" fontId="27" fillId="2" borderId="0" xfId="0" applyFont="1" applyFill="1" applyAlignment="1">
      <alignment horizontal="center" vertical="top" wrapText="1"/>
    </xf>
    <xf numFmtId="0" fontId="10" fillId="2" borderId="0" xfId="4" applyNumberFormat="1" applyFont="1" applyFill="1" applyAlignment="1">
      <alignment vertical="top" wrapText="1"/>
    </xf>
    <xf numFmtId="166" fontId="16" fillId="2" borderId="0" xfId="4" applyNumberFormat="1" applyFont="1" applyFill="1" applyAlignment="1">
      <alignment horizontal="center" vertical="top" wrapText="1"/>
    </xf>
    <xf numFmtId="0" fontId="16" fillId="2" borderId="0" xfId="4" applyNumberFormat="1" applyFont="1" applyFill="1" applyAlignment="1">
      <alignment horizontal="center" vertical="top" wrapText="1"/>
    </xf>
    <xf numFmtId="0" fontId="28" fillId="0" borderId="0" xfId="4" applyNumberFormat="1" applyFont="1" applyAlignment="1">
      <alignment vertical="top" wrapText="1"/>
    </xf>
    <xf numFmtId="0" fontId="22" fillId="2" borderId="0" xfId="4" applyNumberFormat="1" applyFont="1" applyFill="1" applyAlignment="1">
      <alignment horizontal="center" vertical="top" wrapText="1"/>
    </xf>
    <xf numFmtId="0" fontId="6" fillId="3" borderId="9" xfId="4" applyNumberFormat="1" applyFont="1" applyFill="1" applyBorder="1" applyAlignment="1">
      <alignment vertical="top" wrapText="1"/>
    </xf>
    <xf numFmtId="0" fontId="19" fillId="3" borderId="9" xfId="4" applyNumberFormat="1" applyFont="1" applyFill="1" applyBorder="1" applyAlignment="1">
      <alignment vertical="top" wrapText="1"/>
    </xf>
    <xf numFmtId="0" fontId="18" fillId="2" borderId="0" xfId="4" applyNumberFormat="1" applyFont="1" applyFill="1" applyAlignment="1">
      <alignment vertical="top" wrapText="1"/>
    </xf>
    <xf numFmtId="0" fontId="29" fillId="2" borderId="0" xfId="4" applyNumberFormat="1" applyFont="1" applyFill="1" applyAlignment="1">
      <alignment vertical="top" wrapText="1"/>
    </xf>
    <xf numFmtId="0" fontId="18" fillId="3" borderId="9" xfId="4" applyNumberFormat="1" applyFont="1" applyFill="1" applyBorder="1" applyAlignment="1">
      <alignment vertical="top" wrapText="1"/>
    </xf>
    <xf numFmtId="0" fontId="30" fillId="2" borderId="0" xfId="4" applyNumberFormat="1" applyFont="1" applyFill="1" applyAlignment="1">
      <alignment vertical="top" wrapText="1"/>
    </xf>
    <xf numFmtId="0" fontId="31" fillId="2" borderId="0" xfId="4" applyNumberFormat="1" applyFont="1" applyFill="1" applyAlignment="1">
      <alignment vertical="top" wrapText="1"/>
    </xf>
    <xf numFmtId="166" fontId="22" fillId="2" borderId="0" xfId="4" applyNumberFormat="1" applyFont="1" applyFill="1" applyAlignment="1">
      <alignment vertical="top" wrapText="1"/>
    </xf>
    <xf numFmtId="0" fontId="5" fillId="2" borderId="0" xfId="0" applyFont="1" applyFill="1" applyAlignment="1">
      <alignment vertical="center" wrapText="1"/>
    </xf>
    <xf numFmtId="0" fontId="10" fillId="2" borderId="0" xfId="0" applyFont="1" applyFill="1" applyAlignment="1">
      <alignment vertical="center" wrapText="1"/>
    </xf>
    <xf numFmtId="0" fontId="10" fillId="0" borderId="0" xfId="0" applyFont="1" applyAlignment="1">
      <alignment vertical="center"/>
    </xf>
    <xf numFmtId="0" fontId="16" fillId="0" borderId="0" xfId="6" applyFont="1" applyAlignment="1">
      <alignment vertical="top" wrapText="1"/>
    </xf>
    <xf numFmtId="0" fontId="27" fillId="0" borderId="0" xfId="0" applyFont="1" applyAlignment="1">
      <alignment horizontal="center" vertical="top" wrapText="1"/>
    </xf>
    <xf numFmtId="0" fontId="16" fillId="0" borderId="0" xfId="4" applyNumberFormat="1" applyFont="1" applyAlignment="1">
      <alignment vertical="top" wrapText="1"/>
    </xf>
    <xf numFmtId="166" fontId="16" fillId="0" borderId="0" xfId="4" applyNumberFormat="1" applyFont="1" applyAlignment="1">
      <alignment horizontal="center" vertical="top" wrapText="1"/>
    </xf>
    <xf numFmtId="0" fontId="16" fillId="0" borderId="0" xfId="4" applyNumberFormat="1" applyFont="1" applyAlignment="1">
      <alignment horizontal="center" vertical="top" wrapText="1"/>
    </xf>
    <xf numFmtId="0" fontId="10" fillId="0" borderId="0" xfId="4" applyNumberFormat="1" applyFont="1" applyAlignment="1">
      <alignment vertical="top" wrapText="1"/>
    </xf>
    <xf numFmtId="0" fontId="32" fillId="0" borderId="0" xfId="0" applyFont="1" applyAlignment="1">
      <alignment vertical="center"/>
    </xf>
    <xf numFmtId="166" fontId="7" fillId="0" borderId="0" xfId="0" applyNumberFormat="1" applyFont="1" applyAlignment="1">
      <alignment vertical="center"/>
    </xf>
    <xf numFmtId="0" fontId="29" fillId="0" borderId="0" xfId="0" applyFont="1" applyAlignment="1">
      <alignment vertical="center"/>
    </xf>
    <xf numFmtId="166" fontId="5" fillId="0" borderId="0" xfId="0" applyNumberFormat="1" applyFont="1" applyAlignment="1">
      <alignment vertical="center"/>
    </xf>
    <xf numFmtId="17" fontId="6" fillId="2" borderId="0" xfId="4" applyNumberFormat="1" applyFont="1" applyFill="1" applyAlignment="1">
      <alignment horizontal="center" vertical="top" wrapText="1"/>
    </xf>
    <xf numFmtId="165" fontId="6" fillId="2" borderId="0" xfId="7" applyFont="1" applyFill="1" applyAlignment="1">
      <alignment horizontal="center" vertical="top" wrapText="1"/>
    </xf>
    <xf numFmtId="0" fontId="34" fillId="0" borderId="0" xfId="0" applyFont="1" applyAlignment="1">
      <alignment vertical="center" wrapText="1"/>
    </xf>
    <xf numFmtId="0" fontId="34" fillId="0" borderId="0" xfId="0" applyFont="1" applyAlignment="1">
      <alignment vertical="center"/>
    </xf>
    <xf numFmtId="0" fontId="6" fillId="0" borderId="0" xfId="0" applyFont="1" applyAlignment="1">
      <alignment horizontal="center" vertical="top"/>
    </xf>
    <xf numFmtId="0" fontId="6" fillId="0" borderId="0" xfId="0" applyFont="1" applyAlignment="1">
      <alignment horizontal="center" vertical="top" wrapText="1"/>
    </xf>
    <xf numFmtId="0" fontId="35" fillId="0" borderId="0" xfId="6" applyFont="1" applyAlignment="1">
      <alignment wrapText="1"/>
    </xf>
    <xf numFmtId="0" fontId="32" fillId="0" borderId="0" xfId="0" applyFont="1"/>
    <xf numFmtId="166" fontId="7" fillId="0" borderId="0" xfId="0" applyNumberFormat="1" applyFont="1"/>
    <xf numFmtId="0" fontId="36" fillId="0" borderId="0" xfId="0" applyFont="1" applyAlignment="1">
      <alignment horizontal="center" vertical="top" wrapText="1"/>
    </xf>
    <xf numFmtId="0" fontId="16" fillId="2" borderId="0" xfId="4" applyNumberFormat="1" applyFont="1" applyFill="1" applyAlignment="1">
      <alignment vertical="top" wrapText="1"/>
    </xf>
    <xf numFmtId="0" fontId="30" fillId="0" borderId="0" xfId="0" applyFont="1" applyAlignment="1">
      <alignment vertical="center"/>
    </xf>
    <xf numFmtId="0" fontId="6" fillId="0" borderId="0" xfId="8" applyNumberFormat="1" applyFont="1" applyAlignment="1">
      <alignment horizontal="left" vertical="top"/>
    </xf>
    <xf numFmtId="0" fontId="5" fillId="0" borderId="0" xfId="8" applyNumberFormat="1" applyAlignment="1">
      <alignment vertical="top"/>
    </xf>
    <xf numFmtId="0" fontId="5" fillId="0" borderId="0" xfId="8" applyNumberFormat="1" applyAlignment="1">
      <alignment horizontal="center" vertical="top"/>
    </xf>
    <xf numFmtId="0" fontId="5" fillId="2" borderId="0" xfId="8" applyNumberFormat="1" applyFill="1" applyAlignment="1">
      <alignment vertical="top"/>
    </xf>
    <xf numFmtId="0" fontId="5" fillId="0" borderId="0" xfId="8" applyNumberFormat="1" applyAlignment="1">
      <alignment horizontal="center" vertical="top" wrapText="1"/>
    </xf>
    <xf numFmtId="0" fontId="9" fillId="2" borderId="0" xfId="0" applyFont="1" applyFill="1" applyAlignment="1">
      <alignment horizontal="center" vertical="top"/>
    </xf>
    <xf numFmtId="0" fontId="5" fillId="2" borderId="0" xfId="8" applyNumberFormat="1" applyFill="1" applyAlignment="1">
      <alignment horizontal="center" vertical="top" wrapText="1"/>
    </xf>
    <xf numFmtId="0" fontId="5" fillId="2" borderId="0" xfId="0" applyFont="1" applyFill="1" applyAlignment="1">
      <alignment vertical="top"/>
    </xf>
    <xf numFmtId="0" fontId="5" fillId="2" borderId="0" xfId="9" applyNumberFormat="1" applyFill="1" applyAlignment="1">
      <alignment horizontal="left"/>
    </xf>
    <xf numFmtId="0" fontId="5" fillId="0" borderId="0" xfId="9" applyNumberFormat="1" applyAlignment="1">
      <alignment horizontal="center" wrapText="1"/>
    </xf>
    <xf numFmtId="0" fontId="5" fillId="2" borderId="0" xfId="9" applyNumberFormat="1" applyFill="1" applyAlignment="1">
      <alignment horizontal="center" wrapText="1"/>
    </xf>
    <xf numFmtId="0" fontId="5" fillId="0" borderId="0" xfId="9" applyNumberFormat="1" applyAlignment="1">
      <alignment horizontal="center" vertical="top"/>
    </xf>
    <xf numFmtId="0" fontId="5" fillId="0" borderId="0" xfId="9" applyNumberFormat="1" applyAlignment="1">
      <alignment vertical="top"/>
    </xf>
    <xf numFmtId="0" fontId="6" fillId="3" borderId="11" xfId="9" applyNumberFormat="1" applyFont="1" applyFill="1" applyBorder="1" applyAlignment="1">
      <alignment horizontal="center" wrapText="1"/>
    </xf>
    <xf numFmtId="0" fontId="6" fillId="3" borderId="11" xfId="9" applyNumberFormat="1" applyFont="1" applyFill="1" applyBorder="1" applyAlignment="1">
      <alignment horizontal="center" textRotation="90" wrapText="1"/>
    </xf>
    <xf numFmtId="0" fontId="6" fillId="0" borderId="0" xfId="9" applyNumberFormat="1" applyFont="1" applyAlignment="1">
      <alignment horizontal="center"/>
    </xf>
    <xf numFmtId="0" fontId="6" fillId="3" borderId="13" xfId="9" applyNumberFormat="1" applyFont="1" applyFill="1" applyBorder="1" applyAlignment="1">
      <alignment horizontal="center" wrapText="1"/>
    </xf>
    <xf numFmtId="0" fontId="5" fillId="2" borderId="11" xfId="8" applyNumberFormat="1" applyFill="1" applyBorder="1" applyAlignment="1">
      <alignment horizontal="center" vertical="top" wrapText="1"/>
    </xf>
    <xf numFmtId="0" fontId="5" fillId="2" borderId="11" xfId="10" applyNumberFormat="1" applyFill="1" applyBorder="1" applyAlignment="1">
      <alignment horizontal="center" vertical="top" wrapText="1"/>
    </xf>
    <xf numFmtId="0" fontId="5" fillId="0" borderId="11" xfId="8" applyNumberFormat="1" applyBorder="1" applyAlignment="1">
      <alignment vertical="top" wrapText="1"/>
    </xf>
    <xf numFmtId="0" fontId="5" fillId="0" borderId="11" xfId="11" applyNumberFormat="1" applyBorder="1" applyAlignment="1">
      <alignment vertical="top" wrapText="1"/>
    </xf>
    <xf numFmtId="0" fontId="37" fillId="0" borderId="11" xfId="11" applyNumberFormat="1" applyFont="1" applyBorder="1" applyAlignment="1">
      <alignment horizontal="center" vertical="top" wrapText="1"/>
    </xf>
    <xf numFmtId="0" fontId="37" fillId="0" borderId="11" xfId="9" applyNumberFormat="1" applyFont="1" applyBorder="1" applyAlignment="1">
      <alignment horizontal="center" vertical="top" wrapText="1"/>
    </xf>
    <xf numFmtId="0" fontId="5" fillId="2" borderId="11" xfId="8" applyNumberFormat="1" applyFill="1" applyBorder="1" applyAlignment="1">
      <alignment horizontal="justify" vertical="top" wrapText="1"/>
    </xf>
    <xf numFmtId="17" fontId="5" fillId="2" borderId="11" xfId="0" applyNumberFormat="1" applyFont="1" applyFill="1" applyBorder="1" applyAlignment="1">
      <alignment horizontal="center" vertical="top" wrapText="1"/>
    </xf>
    <xf numFmtId="0" fontId="5" fillId="0" borderId="11" xfId="9" applyNumberFormat="1" applyBorder="1" applyAlignment="1">
      <alignment horizontal="center" vertical="top" wrapText="1"/>
    </xf>
    <xf numFmtId="0" fontId="5" fillId="2" borderId="11" xfId="8" applyNumberFormat="1" applyFill="1" applyBorder="1" applyAlignment="1">
      <alignment horizontal="center" vertical="top"/>
    </xf>
    <xf numFmtId="0" fontId="5" fillId="2" borderId="11" xfId="9" applyNumberFormat="1" applyFill="1" applyBorder="1" applyAlignment="1">
      <alignment horizontal="left" vertical="top" wrapText="1"/>
    </xf>
    <xf numFmtId="0" fontId="5" fillId="2" borderId="0" xfId="8" applyNumberFormat="1" applyFill="1" applyAlignment="1">
      <alignment horizontal="center"/>
    </xf>
    <xf numFmtId="14" fontId="5" fillId="0" borderId="11" xfId="12" applyNumberFormat="1" applyBorder="1" applyAlignment="1">
      <alignment horizontal="center" vertical="top" wrapText="1"/>
    </xf>
    <xf numFmtId="0" fontId="5" fillId="2" borderId="0" xfId="8" applyNumberFormat="1" applyFill="1" applyAlignment="1">
      <alignment horizontal="center" vertical="top"/>
    </xf>
    <xf numFmtId="0" fontId="5" fillId="0" borderId="11" xfId="8" applyNumberFormat="1" applyBorder="1" applyAlignment="1">
      <alignment horizontal="center" vertical="top"/>
    </xf>
    <xf numFmtId="0" fontId="5" fillId="0" borderId="11" xfId="8" applyNumberFormat="1" applyBorder="1" applyAlignment="1">
      <alignment horizontal="center" vertical="top" wrapText="1"/>
    </xf>
    <xf numFmtId="0" fontId="5" fillId="0" borderId="11" xfId="10" applyNumberFormat="1" applyBorder="1" applyAlignment="1">
      <alignment horizontal="center" vertical="top" wrapText="1"/>
    </xf>
    <xf numFmtId="0" fontId="5" fillId="0" borderId="11" xfId="9" applyNumberFormat="1" applyBorder="1" applyAlignment="1">
      <alignment horizontal="left" vertical="top" wrapText="1"/>
    </xf>
    <xf numFmtId="0" fontId="5" fillId="2" borderId="11" xfId="11" applyNumberFormat="1" applyFill="1" applyBorder="1" applyAlignment="1">
      <alignment vertical="top" wrapText="1"/>
    </xf>
    <xf numFmtId="0" fontId="37" fillId="2" borderId="11" xfId="11" applyNumberFormat="1" applyFont="1" applyFill="1" applyBorder="1" applyAlignment="1">
      <alignment horizontal="center" vertical="top" wrapText="1"/>
    </xf>
    <xf numFmtId="0" fontId="37" fillId="2" borderId="11" xfId="9" applyNumberFormat="1" applyFont="1" applyFill="1" applyBorder="1" applyAlignment="1">
      <alignment horizontal="center" vertical="top" wrapText="1"/>
    </xf>
    <xf numFmtId="0" fontId="37" fillId="2" borderId="11" xfId="0" applyFont="1" applyFill="1" applyBorder="1" applyAlignment="1">
      <alignment horizontal="center" vertical="top"/>
    </xf>
    <xf numFmtId="0" fontId="38" fillId="0" borderId="11" xfId="9" applyNumberFormat="1" applyFont="1" applyBorder="1" applyAlignment="1">
      <alignment vertical="top" wrapText="1"/>
    </xf>
    <xf numFmtId="0" fontId="5" fillId="2" borderId="11" xfId="0" applyFont="1" applyFill="1" applyBorder="1" applyAlignment="1">
      <alignment vertical="top" wrapText="1"/>
    </xf>
    <xf numFmtId="0" fontId="37" fillId="0" borderId="10" xfId="11" applyNumberFormat="1" applyFont="1" applyBorder="1" applyAlignment="1">
      <alignment horizontal="center" vertical="top" wrapText="1"/>
    </xf>
    <xf numFmtId="0" fontId="37" fillId="0" borderId="11" xfId="4" applyNumberFormat="1" applyFont="1" applyBorder="1" applyAlignment="1">
      <alignment horizontal="center" vertical="top" wrapText="1"/>
    </xf>
    <xf numFmtId="0" fontId="5" fillId="0" borderId="11" xfId="8" applyNumberFormat="1" applyBorder="1" applyAlignment="1">
      <alignment horizontal="justify" vertical="top" wrapText="1"/>
    </xf>
    <xf numFmtId="17" fontId="5" fillId="0" borderId="11" xfId="0" applyNumberFormat="1" applyFont="1" applyBorder="1" applyAlignment="1">
      <alignment horizontal="center" vertical="top" wrapText="1"/>
    </xf>
    <xf numFmtId="0" fontId="5" fillId="0" borderId="0" xfId="8" applyNumberFormat="1" applyAlignment="1">
      <alignment horizontal="center"/>
    </xf>
    <xf numFmtId="0" fontId="37" fillId="2" borderId="11" xfId="4" applyNumberFormat="1" applyFont="1" applyFill="1" applyBorder="1" applyAlignment="1">
      <alignment horizontal="center" vertical="top" wrapText="1"/>
    </xf>
    <xf numFmtId="0" fontId="37" fillId="2" borderId="11" xfId="8" applyNumberFormat="1" applyFont="1" applyFill="1" applyBorder="1" applyAlignment="1">
      <alignment horizontal="center" vertical="top" wrapText="1"/>
    </xf>
    <xf numFmtId="0" fontId="5" fillId="2" borderId="11" xfId="8" applyNumberFormat="1" applyFill="1" applyBorder="1" applyAlignment="1">
      <alignment horizontal="left" vertical="top" wrapText="1"/>
    </xf>
    <xf numFmtId="0" fontId="6" fillId="0" borderId="0" xfId="4" applyNumberFormat="1" applyFont="1" applyAlignment="1">
      <alignment horizontal="left" vertical="top"/>
    </xf>
    <xf numFmtId="0" fontId="5" fillId="2" borderId="0" xfId="9" applyNumberFormat="1" applyFill="1" applyAlignment="1">
      <alignment horizontal="center" vertical="top"/>
    </xf>
    <xf numFmtId="166" fontId="5" fillId="0" borderId="0" xfId="9" applyNumberFormat="1" applyAlignment="1">
      <alignment horizontal="center" vertical="top"/>
    </xf>
    <xf numFmtId="0" fontId="6" fillId="0" borderId="0" xfId="9" applyNumberFormat="1" applyFont="1" applyAlignment="1">
      <alignment horizontal="left" vertical="top"/>
    </xf>
    <xf numFmtId="166" fontId="5" fillId="0" borderId="0" xfId="9" applyNumberFormat="1" applyAlignment="1">
      <alignment vertical="top"/>
    </xf>
    <xf numFmtId="166" fontId="5" fillId="2" borderId="0" xfId="9" applyNumberFormat="1" applyFill="1" applyAlignment="1">
      <alignment vertical="top"/>
    </xf>
    <xf numFmtId="0" fontId="6" fillId="2" borderId="0" xfId="9" applyNumberFormat="1" applyFont="1" applyFill="1" applyAlignment="1">
      <alignment vertical="top"/>
    </xf>
    <xf numFmtId="0" fontId="6" fillId="2" borderId="0" xfId="9" applyNumberFormat="1" applyFont="1" applyFill="1" applyAlignment="1">
      <alignment horizontal="center" vertical="top"/>
    </xf>
    <xf numFmtId="0" fontId="9" fillId="2" borderId="0" xfId="9" applyNumberFormat="1" applyFont="1" applyFill="1" applyAlignment="1">
      <alignment horizontal="center" vertical="center"/>
    </xf>
    <xf numFmtId="0" fontId="9" fillId="2" borderId="0" xfId="9" applyNumberFormat="1" applyFont="1" applyFill="1" applyAlignment="1">
      <alignment horizontal="left" vertical="center" wrapText="1"/>
    </xf>
    <xf numFmtId="166" fontId="9" fillId="2" borderId="0" xfId="9" applyNumberFormat="1" applyFont="1" applyFill="1" applyAlignment="1">
      <alignment horizontal="center" vertical="center"/>
    </xf>
    <xf numFmtId="0" fontId="9" fillId="2" borderId="0" xfId="9" applyNumberFormat="1" applyFont="1" applyFill="1" applyAlignment="1">
      <alignment horizontal="center" wrapText="1"/>
    </xf>
    <xf numFmtId="0" fontId="9" fillId="0" borderId="0" xfId="9" applyNumberFormat="1" applyFont="1" applyAlignment="1">
      <alignment vertical="top"/>
    </xf>
    <xf numFmtId="0" fontId="6" fillId="3" borderId="12" xfId="9" applyNumberFormat="1" applyFont="1" applyFill="1" applyBorder="1" applyAlignment="1">
      <alignment horizontal="center" wrapText="1"/>
    </xf>
    <xf numFmtId="0" fontId="6" fillId="0" borderId="0" xfId="9" applyNumberFormat="1" applyFont="1" applyAlignment="1">
      <alignment horizontal="center" wrapText="1"/>
    </xf>
    <xf numFmtId="0" fontId="5" fillId="0" borderId="0" xfId="9" applyNumberFormat="1" applyAlignment="1">
      <alignment horizontal="center"/>
    </xf>
    <xf numFmtId="0" fontId="4" fillId="0" borderId="11" xfId="0" applyFont="1" applyBorder="1" applyAlignment="1">
      <alignment horizontal="center" vertical="top" wrapText="1"/>
    </xf>
    <xf numFmtId="0" fontId="4" fillId="0" borderId="11" xfId="0" applyFont="1" applyBorder="1" applyAlignment="1">
      <alignment vertical="top" wrapText="1"/>
    </xf>
    <xf numFmtId="0" fontId="5" fillId="2" borderId="11" xfId="9" applyNumberFormat="1" applyFill="1" applyBorder="1" applyAlignment="1">
      <alignment horizontal="center" vertical="top" wrapText="1"/>
    </xf>
    <xf numFmtId="0" fontId="4" fillId="0" borderId="0" xfId="0" applyFont="1"/>
    <xf numFmtId="0" fontId="38" fillId="0" borderId="11" xfId="0" applyFont="1" applyBorder="1" applyAlignment="1">
      <alignment vertical="top" wrapText="1"/>
    </xf>
    <xf numFmtId="0" fontId="4" fillId="4" borderId="11" xfId="0" applyFont="1" applyFill="1" applyBorder="1" applyAlignment="1">
      <alignment horizontal="center" vertical="top" wrapText="1"/>
    </xf>
    <xf numFmtId="0" fontId="4" fillId="4" borderId="11" xfId="0" applyFont="1" applyFill="1" applyBorder="1" applyAlignment="1">
      <alignment vertical="top" wrapText="1"/>
    </xf>
    <xf numFmtId="0" fontId="38" fillId="4" borderId="11" xfId="0" applyFont="1" applyFill="1" applyBorder="1" applyAlignment="1">
      <alignment vertical="top" wrapText="1"/>
    </xf>
    <xf numFmtId="0" fontId="0" fillId="0" borderId="14" xfId="0" applyBorder="1" applyAlignment="1">
      <alignment horizontal="center" vertical="top" wrapText="1"/>
    </xf>
    <xf numFmtId="0" fontId="0" fillId="0" borderId="14" xfId="0" applyBorder="1" applyAlignment="1">
      <alignment horizontal="center" vertical="top"/>
    </xf>
    <xf numFmtId="14" fontId="5" fillId="0" borderId="11" xfId="9" applyNumberFormat="1" applyBorder="1" applyAlignment="1">
      <alignment horizontal="center" vertical="top" wrapText="1"/>
    </xf>
    <xf numFmtId="0" fontId="5" fillId="0" borderId="11" xfId="10" applyNumberFormat="1" applyBorder="1" applyAlignment="1">
      <alignment vertical="top" wrapText="1"/>
    </xf>
    <xf numFmtId="0" fontId="5" fillId="0" borderId="11" xfId="9" applyNumberFormat="1" applyBorder="1" applyAlignment="1">
      <alignment vertical="top" wrapText="1"/>
    </xf>
    <xf numFmtId="0" fontId="38" fillId="0" borderId="11" xfId="0" applyFont="1" applyBorder="1" applyAlignment="1">
      <alignment horizontal="center" vertical="top" wrapText="1"/>
    </xf>
    <xf numFmtId="0" fontId="4" fillId="0" borderId="12" xfId="0" applyFont="1" applyBorder="1" applyAlignment="1">
      <alignment vertical="top" wrapText="1"/>
    </xf>
    <xf numFmtId="0" fontId="0" fillId="0" borderId="0" xfId="0" applyAlignment="1">
      <alignment horizontal="center" wrapText="1"/>
    </xf>
    <xf numFmtId="0" fontId="0" fillId="0" borderId="0" xfId="0" applyAlignment="1">
      <alignment horizontal="center"/>
    </xf>
    <xf numFmtId="0" fontId="6" fillId="3" borderId="16" xfId="9" applyNumberFormat="1" applyFont="1" applyFill="1" applyBorder="1" applyAlignment="1">
      <alignment horizontal="center" wrapText="1"/>
    </xf>
    <xf numFmtId="0" fontId="6" fillId="3" borderId="17" xfId="9" applyNumberFormat="1" applyFont="1" applyFill="1" applyBorder="1" applyAlignment="1">
      <alignment horizontal="center" wrapText="1"/>
    </xf>
    <xf numFmtId="0" fontId="0" fillId="0" borderId="14" xfId="0" applyBorder="1"/>
    <xf numFmtId="0" fontId="5" fillId="0" borderId="14" xfId="0" applyFont="1" applyBorder="1" applyAlignment="1">
      <alignment horizontal="center"/>
    </xf>
    <xf numFmtId="0" fontId="0" fillId="0" borderId="14" xfId="0" applyBorder="1" applyAlignment="1">
      <alignment horizontal="center"/>
    </xf>
    <xf numFmtId="0" fontId="0" fillId="0" borderId="18" xfId="0" applyBorder="1"/>
    <xf numFmtId="0" fontId="0" fillId="0" borderId="18" xfId="0" applyBorder="1" applyAlignment="1">
      <alignment horizontal="center"/>
    </xf>
    <xf numFmtId="0" fontId="40" fillId="0" borderId="0" xfId="0" applyFont="1"/>
    <xf numFmtId="165" fontId="6" fillId="0" borderId="0" xfId="7" applyFont="1" applyAlignment="1">
      <alignment horizontal="left" vertical="top"/>
    </xf>
    <xf numFmtId="0" fontId="7" fillId="2" borderId="0" xfId="13" applyFont="1" applyFill="1"/>
    <xf numFmtId="0" fontId="6" fillId="0" borderId="0" xfId="14" applyNumberFormat="1" applyFont="1" applyAlignment="1">
      <alignment horizontal="left" vertical="top"/>
    </xf>
    <xf numFmtId="0" fontId="5" fillId="2" borderId="5" xfId="15" applyFill="1" applyBorder="1" applyProtection="1">
      <protection locked="0"/>
    </xf>
    <xf numFmtId="0" fontId="5" fillId="2" borderId="0" xfId="15" applyFill="1" applyProtection="1">
      <protection locked="0"/>
    </xf>
    <xf numFmtId="0" fontId="5" fillId="2" borderId="0" xfId="15" applyFill="1"/>
    <xf numFmtId="0" fontId="6" fillId="2" borderId="9" xfId="15" applyFont="1" applyFill="1" applyBorder="1" applyAlignment="1" applyProtection="1">
      <alignment horizontal="left" vertical="center"/>
      <protection locked="0"/>
    </xf>
    <xf numFmtId="0" fontId="5" fillId="2" borderId="9" xfId="15" applyFill="1" applyBorder="1" applyAlignment="1" applyProtection="1">
      <alignment horizontal="left" vertical="center"/>
      <protection locked="0"/>
    </xf>
    <xf numFmtId="0" fontId="5" fillId="2" borderId="0" xfId="15" applyFill="1" applyAlignment="1" applyProtection="1">
      <alignment horizontal="left" vertical="center" wrapText="1"/>
      <protection locked="0"/>
    </xf>
    <xf numFmtId="0" fontId="7" fillId="2" borderId="0" xfId="16" applyFont="1" applyFill="1"/>
    <xf numFmtId="0" fontId="6" fillId="2" borderId="0" xfId="13" applyFont="1" applyFill="1" applyAlignment="1">
      <alignment vertical="top"/>
    </xf>
    <xf numFmtId="0" fontId="6" fillId="2" borderId="0" xfId="15" applyFont="1" applyFill="1" applyAlignment="1" applyProtection="1">
      <alignment horizontal="left" vertical="top" wrapText="1"/>
      <protection locked="0"/>
    </xf>
    <xf numFmtId="0" fontId="5" fillId="2" borderId="0" xfId="15" applyFill="1" applyAlignment="1" applyProtection="1">
      <alignment horizontal="left" vertical="top" wrapText="1"/>
      <protection locked="0"/>
    </xf>
    <xf numFmtId="0" fontId="6" fillId="2" borderId="0" xfId="17" applyFont="1" applyFill="1" applyAlignment="1" applyProtection="1">
      <alignment horizontal="left" vertical="top" wrapText="1"/>
      <protection locked="0"/>
    </xf>
    <xf numFmtId="0" fontId="5" fillId="2" borderId="0" xfId="15" applyFill="1" applyAlignment="1">
      <alignment horizontal="left" vertical="top"/>
    </xf>
    <xf numFmtId="0" fontId="5" fillId="2" borderId="2" xfId="15" applyFill="1" applyBorder="1"/>
    <xf numFmtId="0" fontId="5" fillId="2" borderId="0" xfId="17" applyFill="1" applyProtection="1">
      <protection locked="0"/>
    </xf>
    <xf numFmtId="165" fontId="6" fillId="3" borderId="11" xfId="19" applyFont="1" applyFill="1" applyBorder="1" applyAlignment="1" applyProtection="1">
      <alignment horizontal="center"/>
      <protection locked="0"/>
    </xf>
    <xf numFmtId="0" fontId="7" fillId="2" borderId="0" xfId="13" applyFont="1" applyFill="1" applyAlignment="1">
      <alignment horizontal="left" vertical="top" wrapText="1"/>
    </xf>
    <xf numFmtId="0" fontId="7" fillId="0" borderId="0" xfId="13" applyFont="1" applyAlignment="1">
      <alignment horizontal="center" vertical="center"/>
    </xf>
    <xf numFmtId="0" fontId="7" fillId="2" borderId="0" xfId="13" applyFont="1" applyFill="1" applyAlignment="1">
      <alignment horizontal="center" vertical="center"/>
    </xf>
    <xf numFmtId="0" fontId="7" fillId="0" borderId="0" xfId="13" applyFont="1"/>
    <xf numFmtId="0" fontId="7" fillId="2" borderId="0" xfId="13" applyFont="1" applyFill="1" applyAlignment="1">
      <alignment wrapText="1"/>
    </xf>
    <xf numFmtId="0" fontId="5" fillId="2" borderId="13" xfId="15" applyFill="1" applyBorder="1" applyAlignment="1" applyProtection="1">
      <alignment horizontal="center" vertical="center"/>
      <protection locked="0"/>
    </xf>
    <xf numFmtId="0" fontId="5" fillId="2" borderId="19" xfId="15" applyFill="1" applyBorder="1" applyAlignment="1" applyProtection="1">
      <alignment horizontal="center" vertical="center"/>
      <protection locked="0"/>
    </xf>
    <xf numFmtId="0" fontId="5" fillId="2" borderId="15" xfId="15" applyFill="1" applyBorder="1" applyAlignment="1" applyProtection="1">
      <alignment horizontal="center" vertical="center"/>
      <protection locked="0"/>
    </xf>
    <xf numFmtId="17" fontId="5" fillId="0" borderId="13" xfId="15" applyNumberFormat="1" applyBorder="1" applyAlignment="1" applyProtection="1">
      <alignment horizontal="center" vertical="center" wrapText="1"/>
      <protection locked="0"/>
    </xf>
    <xf numFmtId="0" fontId="5" fillId="2" borderId="9" xfId="15" applyFill="1" applyBorder="1" applyProtection="1">
      <protection locked="0"/>
    </xf>
    <xf numFmtId="165" fontId="6" fillId="3" borderId="15" xfId="19" applyFont="1" applyFill="1" applyBorder="1" applyAlignment="1" applyProtection="1">
      <alignment horizontal="center"/>
      <protection locked="0"/>
    </xf>
    <xf numFmtId="0" fontId="5" fillId="0" borderId="0" xfId="15" applyAlignment="1" applyProtection="1">
      <alignment horizontal="left" vertical="top" wrapText="1"/>
      <protection locked="0"/>
    </xf>
    <xf numFmtId="0" fontId="5" fillId="0" borderId="0" xfId="15"/>
    <xf numFmtId="0" fontId="5" fillId="0" borderId="0" xfId="15" applyAlignment="1">
      <alignment horizontal="center" vertical="center"/>
    </xf>
    <xf numFmtId="0" fontId="5" fillId="2" borderId="0" xfId="15" applyFill="1" applyAlignment="1">
      <alignment horizontal="center" vertical="center"/>
    </xf>
    <xf numFmtId="0" fontId="5" fillId="0" borderId="13" xfId="15" applyBorder="1" applyAlignment="1" applyProtection="1">
      <alignment horizontal="center" vertical="center" wrapText="1"/>
      <protection locked="0"/>
    </xf>
    <xf numFmtId="0" fontId="5" fillId="0" borderId="19" xfId="15" applyBorder="1" applyAlignment="1" applyProtection="1">
      <alignment horizontal="center" vertical="center"/>
      <protection locked="0"/>
    </xf>
    <xf numFmtId="0" fontId="5" fillId="0" borderId="15" xfId="15" applyBorder="1" applyAlignment="1" applyProtection="1">
      <alignment horizontal="center" vertical="center"/>
      <protection locked="0"/>
    </xf>
    <xf numFmtId="0" fontId="5" fillId="0" borderId="1" xfId="17" applyBorder="1" applyAlignment="1" applyProtection="1">
      <alignment horizontal="left" vertical="top" wrapText="1"/>
      <protection locked="0"/>
    </xf>
    <xf numFmtId="0" fontId="5" fillId="0" borderId="3" xfId="17" applyBorder="1" applyAlignment="1" applyProtection="1">
      <alignment horizontal="left" vertical="top" wrapText="1"/>
      <protection locked="0"/>
    </xf>
    <xf numFmtId="0" fontId="5" fillId="0" borderId="7" xfId="17" applyBorder="1" applyAlignment="1" applyProtection="1">
      <alignment horizontal="left" vertical="top" wrapText="1"/>
      <protection locked="0"/>
    </xf>
    <xf numFmtId="0" fontId="5" fillId="0" borderId="8" xfId="17" applyBorder="1" applyAlignment="1" applyProtection="1">
      <alignment horizontal="left" vertical="top" wrapText="1"/>
      <protection locked="0"/>
    </xf>
    <xf numFmtId="0" fontId="5" fillId="0" borderId="4" xfId="17" applyBorder="1" applyAlignment="1" applyProtection="1">
      <alignment horizontal="left" vertical="top" wrapText="1"/>
      <protection locked="0"/>
    </xf>
    <xf numFmtId="0" fontId="5" fillId="0" borderId="6" xfId="17" applyBorder="1" applyAlignment="1" applyProtection="1">
      <alignment horizontal="left" vertical="top" wrapText="1"/>
      <protection locked="0"/>
    </xf>
    <xf numFmtId="0" fontId="7" fillId="2" borderId="0" xfId="13" applyFont="1" applyFill="1" applyAlignment="1">
      <alignment vertical="center"/>
    </xf>
    <xf numFmtId="0" fontId="5" fillId="0" borderId="0" xfId="15" applyAlignment="1">
      <alignment vertical="center"/>
    </xf>
    <xf numFmtId="0" fontId="7" fillId="0" borderId="0" xfId="13" applyFont="1" applyAlignment="1">
      <alignment vertical="center"/>
    </xf>
    <xf numFmtId="0" fontId="5" fillId="2" borderId="5" xfId="2" applyFill="1" applyBorder="1" applyProtection="1">
      <protection locked="0"/>
    </xf>
    <xf numFmtId="0" fontId="5" fillId="2" borderId="0" xfId="2" applyFill="1" applyProtection="1">
      <protection locked="0"/>
    </xf>
    <xf numFmtId="0" fontId="5" fillId="2" borderId="0" xfId="2" applyFill="1"/>
    <xf numFmtId="0" fontId="6" fillId="2" borderId="9" xfId="2" applyFont="1" applyFill="1" applyBorder="1" applyAlignment="1" applyProtection="1">
      <alignment horizontal="left" vertical="center"/>
      <protection locked="0"/>
    </xf>
    <xf numFmtId="0" fontId="5" fillId="2" borderId="9" xfId="2" applyFill="1" applyBorder="1" applyAlignment="1" applyProtection="1">
      <alignment horizontal="left" vertical="center"/>
      <protection locked="0"/>
    </xf>
    <xf numFmtId="0" fontId="5" fillId="2" borderId="0" xfId="2" applyFill="1" applyAlignment="1" applyProtection="1">
      <alignment horizontal="left" vertical="center" wrapText="1"/>
      <protection locked="0"/>
    </xf>
    <xf numFmtId="0" fontId="6" fillId="2" borderId="0" xfId="2" applyFont="1" applyFill="1" applyAlignment="1" applyProtection="1">
      <alignment horizontal="left" vertical="top" wrapText="1"/>
      <protection locked="0"/>
    </xf>
    <xf numFmtId="0" fontId="5" fillId="2" borderId="0" xfId="2" applyFill="1" applyAlignment="1" applyProtection="1">
      <alignment horizontal="left" vertical="top" wrapText="1"/>
      <protection locked="0"/>
    </xf>
    <xf numFmtId="0" fontId="5" fillId="2" borderId="0" xfId="2" applyFill="1" applyAlignment="1">
      <alignment horizontal="left" vertical="top"/>
    </xf>
    <xf numFmtId="0" fontId="5" fillId="2" borderId="2" xfId="2" applyFill="1" applyBorder="1"/>
    <xf numFmtId="0" fontId="5" fillId="0" borderId="0" xfId="2"/>
    <xf numFmtId="0" fontId="5" fillId="0" borderId="0" xfId="2" applyProtection="1">
      <protection locked="0"/>
    </xf>
    <xf numFmtId="0" fontId="7" fillId="2" borderId="0" xfId="21" applyFont="1" applyFill="1"/>
    <xf numFmtId="0" fontId="44" fillId="0" borderId="0" xfId="22" quotePrefix="1" applyFont="1"/>
    <xf numFmtId="0" fontId="4" fillId="0" borderId="25" xfId="0" applyFont="1" applyBorder="1"/>
    <xf numFmtId="0" fontId="4" fillId="0" borderId="26" xfId="0" applyFont="1" applyBorder="1"/>
    <xf numFmtId="0" fontId="45" fillId="0" borderId="24" xfId="0" applyFont="1" applyBorder="1" applyAlignment="1">
      <alignment horizontal="center" vertical="center" textRotation="90" wrapText="1"/>
    </xf>
    <xf numFmtId="0" fontId="38" fillId="0" borderId="25" xfId="0" applyFont="1" applyBorder="1" applyAlignment="1">
      <alignment vertical="top" wrapText="1"/>
    </xf>
    <xf numFmtId="0" fontId="45" fillId="0" borderId="27" xfId="0" applyFont="1" applyBorder="1" applyAlignment="1">
      <alignment horizontal="center" vertical="center" textRotation="90" wrapText="1"/>
    </xf>
    <xf numFmtId="0" fontId="45" fillId="0" borderId="28" xfId="0" applyFont="1" applyBorder="1" applyAlignment="1">
      <alignment horizontal="center" vertical="center" textRotation="90" wrapText="1"/>
    </xf>
    <xf numFmtId="0" fontId="45" fillId="0" borderId="29" xfId="0" applyFont="1" applyBorder="1" applyAlignment="1">
      <alignment horizontal="center" vertical="center" textRotation="90" wrapText="1"/>
    </xf>
    <xf numFmtId="0" fontId="38" fillId="0" borderId="30" xfId="0" applyFont="1" applyBorder="1" applyAlignment="1">
      <alignment vertical="top" wrapText="1"/>
    </xf>
    <xf numFmtId="0" fontId="38" fillId="0" borderId="30" xfId="0" applyFont="1" applyBorder="1" applyAlignment="1">
      <alignment horizontal="center" vertical="top" wrapText="1"/>
    </xf>
    <xf numFmtId="0" fontId="4" fillId="0" borderId="31" xfId="0" applyFont="1" applyBorder="1"/>
    <xf numFmtId="0" fontId="45" fillId="0" borderId="30" xfId="0" applyFont="1" applyBorder="1" applyAlignment="1">
      <alignment horizontal="center" vertical="center" textRotation="90" wrapText="1"/>
    </xf>
    <xf numFmtId="0" fontId="45" fillId="0" borderId="32" xfId="0" applyFont="1" applyBorder="1" applyAlignment="1">
      <alignment horizontal="center" vertical="center" textRotation="90" wrapText="1"/>
    </xf>
    <xf numFmtId="0" fontId="38" fillId="0" borderId="32" xfId="0" applyFont="1" applyBorder="1" applyAlignment="1">
      <alignment vertical="top" wrapText="1"/>
    </xf>
    <xf numFmtId="0" fontId="4" fillId="0" borderId="33" xfId="0" applyFont="1" applyBorder="1"/>
    <xf numFmtId="0" fontId="46" fillId="0" borderId="29" xfId="0" applyFont="1" applyBorder="1" applyAlignment="1">
      <alignment vertical="top"/>
    </xf>
    <xf numFmtId="0" fontId="4" fillId="0" borderId="29" xfId="0" applyFont="1" applyBorder="1" applyAlignment="1">
      <alignment vertical="top"/>
    </xf>
    <xf numFmtId="0" fontId="4" fillId="0" borderId="30" xfId="0" applyFont="1" applyBorder="1" applyAlignment="1">
      <alignment vertical="top"/>
    </xf>
    <xf numFmtId="0" fontId="4" fillId="0" borderId="31" xfId="0" applyFont="1" applyBorder="1" applyAlignment="1">
      <alignment vertical="top"/>
    </xf>
    <xf numFmtId="0" fontId="46" fillId="0" borderId="34" xfId="0" applyFont="1" applyBorder="1" applyAlignment="1">
      <alignment horizontal="center" vertical="top"/>
    </xf>
    <xf numFmtId="170" fontId="4" fillId="0" borderId="27" xfId="0" applyNumberFormat="1" applyFont="1" applyBorder="1" applyAlignment="1">
      <alignment horizontal="right" vertical="top"/>
    </xf>
    <xf numFmtId="0" fontId="47" fillId="0" borderId="0" xfId="0" applyFont="1"/>
    <xf numFmtId="0" fontId="0" fillId="0" borderId="0" xfId="0" applyAlignment="1">
      <alignment vertical="top"/>
    </xf>
    <xf numFmtId="0" fontId="6" fillId="2" borderId="0" xfId="4" applyNumberFormat="1" applyFont="1" applyFill="1" applyAlignment="1">
      <alignment horizontal="justify" vertical="top" wrapText="1"/>
    </xf>
    <xf numFmtId="0" fontId="5" fillId="0" borderId="0" xfId="4" applyNumberFormat="1" applyAlignment="1">
      <alignment horizontal="justify" vertical="top" wrapText="1"/>
    </xf>
    <xf numFmtId="0" fontId="6" fillId="0" borderId="7" xfId="4" applyNumberFormat="1" applyFont="1" applyBorder="1" applyAlignment="1">
      <alignment horizontal="left" vertical="top" indent="1"/>
    </xf>
    <xf numFmtId="0" fontId="6" fillId="0" borderId="0" xfId="4" applyNumberFormat="1" applyFont="1" applyAlignment="1">
      <alignment horizontal="left" vertical="top" indent="1"/>
    </xf>
    <xf numFmtId="0" fontId="6" fillId="2" borderId="0" xfId="4" applyNumberFormat="1" applyFont="1" applyFill="1" applyAlignment="1">
      <alignment vertical="top" wrapText="1"/>
    </xf>
    <xf numFmtId="0" fontId="6" fillId="2" borderId="0" xfId="0" applyFont="1" applyFill="1"/>
    <xf numFmtId="0" fontId="6" fillId="2" borderId="8" xfId="0" applyFont="1" applyFill="1" applyBorder="1"/>
    <xf numFmtId="0" fontId="0" fillId="0" borderId="0" xfId="0" applyProtection="1"/>
    <xf numFmtId="0" fontId="47" fillId="0" borderId="0" xfId="0" applyFont="1" applyProtection="1"/>
    <xf numFmtId="0" fontId="0" fillId="0" borderId="0" xfId="0" applyAlignment="1" applyProtection="1">
      <alignment vertical="top"/>
    </xf>
    <xf numFmtId="0" fontId="0" fillId="0" borderId="13" xfId="0" applyBorder="1" applyAlignment="1" applyProtection="1">
      <alignment vertical="top"/>
    </xf>
    <xf numFmtId="0" fontId="0" fillId="0" borderId="13" xfId="0" applyBorder="1" applyProtection="1"/>
    <xf numFmtId="0" fontId="0" fillId="0" borderId="19" xfId="0" applyBorder="1" applyProtection="1"/>
    <xf numFmtId="0" fontId="0" fillId="0" borderId="19" xfId="0" applyBorder="1" applyAlignment="1" applyProtection="1">
      <alignment horizontal="left" vertical="top"/>
    </xf>
    <xf numFmtId="0" fontId="51" fillId="0" borderId="19" xfId="0" applyFont="1" applyBorder="1" applyAlignment="1" applyProtection="1">
      <alignment horizontal="left" vertical="top"/>
    </xf>
    <xf numFmtId="0" fontId="0" fillId="0" borderId="15" xfId="0" applyBorder="1" applyProtection="1"/>
    <xf numFmtId="0" fontId="51" fillId="0" borderId="15" xfId="0" applyFont="1" applyBorder="1" applyAlignment="1" applyProtection="1">
      <alignment horizontal="left" vertical="top"/>
    </xf>
    <xf numFmtId="0" fontId="0" fillId="0" borderId="13" xfId="0" applyBorder="1" applyAlignment="1" applyProtection="1">
      <alignment vertical="top" wrapText="1"/>
    </xf>
    <xf numFmtId="0" fontId="0" fillId="0" borderId="13" xfId="0" applyBorder="1" applyAlignment="1" applyProtection="1">
      <alignment horizontal="left" vertical="top" wrapText="1"/>
    </xf>
    <xf numFmtId="0" fontId="0" fillId="0" borderId="15" xfId="0" applyBorder="1" applyAlignment="1" applyProtection="1">
      <alignment horizontal="left" vertical="top"/>
    </xf>
    <xf numFmtId="0" fontId="0" fillId="0" borderId="11" xfId="0" applyBorder="1" applyAlignment="1" applyProtection="1">
      <alignment wrapText="1"/>
    </xf>
    <xf numFmtId="0" fontId="0" fillId="0" borderId="11" xfId="0" applyBorder="1" applyAlignment="1" applyProtection="1">
      <alignment vertical="top"/>
    </xf>
    <xf numFmtId="0" fontId="49" fillId="0" borderId="0" xfId="0" applyFont="1" applyProtection="1"/>
    <xf numFmtId="0" fontId="0" fillId="0" borderId="11" xfId="0" applyBorder="1" applyAlignment="1" applyProtection="1">
      <alignment vertical="top" wrapText="1"/>
    </xf>
    <xf numFmtId="0" fontId="0" fillId="0" borderId="11" xfId="0" applyBorder="1" applyProtection="1"/>
    <xf numFmtId="0" fontId="0" fillId="0" borderId="10" xfId="0" applyBorder="1" applyAlignment="1" applyProtection="1">
      <alignment vertical="top"/>
    </xf>
    <xf numFmtId="0" fontId="0" fillId="0" borderId="15" xfId="0" applyBorder="1" applyAlignment="1" applyProtection="1">
      <alignment wrapText="1"/>
    </xf>
    <xf numFmtId="0" fontId="0" fillId="0" borderId="11" xfId="0" applyFill="1" applyBorder="1" applyAlignment="1" applyProtection="1">
      <alignment wrapText="1"/>
    </xf>
    <xf numFmtId="0" fontId="4" fillId="0" borderId="0" xfId="0" applyFont="1" applyAlignment="1" applyProtection="1">
      <alignment vertical="center"/>
      <protection locked="0"/>
    </xf>
    <xf numFmtId="0" fontId="6" fillId="0" borderId="0" xfId="2" applyFont="1" applyAlignment="1" applyProtection="1">
      <alignment vertical="top"/>
      <protection locked="0"/>
    </xf>
    <xf numFmtId="0" fontId="6" fillId="0" borderId="0" xfId="3" applyFont="1" applyAlignment="1" applyProtection="1">
      <alignment vertical="top" wrapText="1"/>
      <protection locked="0"/>
    </xf>
    <xf numFmtId="0" fontId="6" fillId="0" borderId="0" xfId="3" applyFont="1" applyProtection="1">
      <protection locked="0"/>
    </xf>
    <xf numFmtId="0" fontId="6" fillId="0" borderId="0" xfId="3" applyFont="1" applyAlignment="1" applyProtection="1">
      <alignment horizontal="center" readingOrder="1"/>
      <protection locked="0"/>
    </xf>
    <xf numFmtId="0" fontId="7" fillId="0" borderId="0" xfId="0" applyFont="1" applyAlignment="1" applyProtection="1">
      <alignment wrapText="1"/>
      <protection locked="0"/>
    </xf>
    <xf numFmtId="0" fontId="7" fillId="0" borderId="0" xfId="0" applyFont="1" applyAlignment="1" applyProtection="1">
      <alignment vertical="top" wrapText="1"/>
      <protection locked="0"/>
    </xf>
    <xf numFmtId="0" fontId="7" fillId="0" borderId="0" xfId="0" applyFont="1" applyAlignment="1" applyProtection="1">
      <alignment vertical="center" wrapText="1"/>
      <protection locked="0"/>
    </xf>
    <xf numFmtId="0" fontId="8" fillId="2" borderId="0" xfId="0" applyFont="1" applyFill="1" applyAlignment="1" applyProtection="1">
      <alignment horizontal="center" vertical="top" wrapText="1"/>
      <protection locked="0"/>
    </xf>
    <xf numFmtId="0" fontId="9" fillId="2" borderId="0" xfId="0" applyFont="1" applyFill="1" applyAlignment="1" applyProtection="1">
      <alignment horizontal="center" vertical="top" wrapText="1"/>
      <protection locked="0"/>
    </xf>
    <xf numFmtId="0" fontId="9" fillId="2" borderId="0" xfId="0" applyFont="1" applyFill="1" applyAlignment="1" applyProtection="1">
      <alignment horizontal="left" vertical="top" wrapText="1"/>
      <protection locked="0"/>
    </xf>
    <xf numFmtId="0" fontId="9" fillId="2" borderId="0" xfId="0" applyFont="1" applyFill="1" applyAlignment="1" applyProtection="1">
      <alignment vertical="top" wrapText="1"/>
      <protection locked="0"/>
    </xf>
    <xf numFmtId="0" fontId="10" fillId="0" borderId="1" xfId="4" applyNumberFormat="1" applyFont="1" applyBorder="1" applyAlignment="1" applyProtection="1">
      <alignment horizontal="left" vertical="top"/>
      <protection locked="0"/>
    </xf>
    <xf numFmtId="0" fontId="6" fillId="2" borderId="2" xfId="4" applyNumberFormat="1" applyFont="1" applyFill="1" applyBorder="1" applyAlignment="1" applyProtection="1">
      <alignment horizontal="center" vertical="top" wrapText="1"/>
      <protection locked="0"/>
    </xf>
    <xf numFmtId="0" fontId="6" fillId="2" borderId="3" xfId="4" applyNumberFormat="1" applyFont="1" applyFill="1" applyBorder="1" applyAlignment="1" applyProtection="1">
      <alignment horizontal="center" vertical="top" wrapText="1"/>
      <protection locked="0"/>
    </xf>
    <xf numFmtId="0" fontId="10" fillId="0" borderId="1" xfId="2" applyFont="1" applyBorder="1" applyAlignment="1" applyProtection="1">
      <alignment horizontal="left" vertical="top"/>
      <protection locked="0"/>
    </xf>
    <xf numFmtId="0" fontId="7" fillId="0" borderId="2" xfId="3" applyFont="1" applyBorder="1" applyAlignment="1" applyProtection="1">
      <alignment horizontal="left" vertical="top"/>
      <protection locked="0"/>
    </xf>
    <xf numFmtId="0" fontId="10" fillId="0" borderId="2" xfId="4" applyNumberFormat="1" applyFont="1" applyBorder="1" applyAlignment="1" applyProtection="1">
      <alignment horizontal="left" vertical="top" wrapText="1" indent="1"/>
      <protection locked="0"/>
    </xf>
    <xf numFmtId="0" fontId="5" fillId="2" borderId="2" xfId="4" applyNumberFormat="1" applyFill="1" applyBorder="1" applyAlignment="1" applyProtection="1">
      <alignment horizontal="center" vertical="top" wrapText="1"/>
      <protection locked="0"/>
    </xf>
    <xf numFmtId="0" fontId="5" fillId="2" borderId="3" xfId="4" applyNumberFormat="1" applyFill="1" applyBorder="1" applyAlignment="1" applyProtection="1">
      <alignment horizontal="center" vertical="top" wrapText="1"/>
      <protection locked="0"/>
    </xf>
    <xf numFmtId="0" fontId="0" fillId="0" borderId="11" xfId="0" applyBorder="1" applyAlignment="1" applyProtection="1">
      <alignment horizontal="left" vertical="top" wrapText="1"/>
    </xf>
    <xf numFmtId="0" fontId="0" fillId="0" borderId="19" xfId="0" applyBorder="1" applyAlignment="1" applyProtection="1">
      <alignment horizontal="left" vertical="top" wrapText="1"/>
    </xf>
    <xf numFmtId="0" fontId="0" fillId="0" borderId="15" xfId="0" applyBorder="1" applyAlignment="1" applyProtection="1">
      <alignment horizontal="left" vertical="top" wrapText="1"/>
    </xf>
    <xf numFmtId="0" fontId="0" fillId="0" borderId="11" xfId="0" applyBorder="1" applyAlignment="1" applyProtection="1">
      <alignment horizontal="left" vertical="top"/>
    </xf>
    <xf numFmtId="0" fontId="48" fillId="0" borderId="0" xfId="0" applyFont="1" applyAlignment="1" applyProtection="1">
      <alignment horizontal="center"/>
    </xf>
    <xf numFmtId="0" fontId="0" fillId="0" borderId="13" xfId="0" applyBorder="1" applyAlignment="1" applyProtection="1">
      <alignment horizontal="left" vertical="top" wrapText="1"/>
    </xf>
    <xf numFmtId="0" fontId="0" fillId="0" borderId="13" xfId="0" applyBorder="1" applyAlignment="1" applyProtection="1">
      <alignment horizontal="left" vertical="top"/>
    </xf>
    <xf numFmtId="0" fontId="0" fillId="0" borderId="19" xfId="0" applyBorder="1" applyAlignment="1" applyProtection="1">
      <alignment horizontal="left" vertical="top"/>
    </xf>
    <xf numFmtId="0" fontId="0" fillId="0" borderId="15" xfId="0" applyBorder="1" applyAlignment="1" applyProtection="1">
      <alignment horizontal="left" vertical="top"/>
    </xf>
    <xf numFmtId="0" fontId="6" fillId="2" borderId="0" xfId="0" applyFont="1" applyFill="1"/>
    <xf numFmtId="0" fontId="6" fillId="2" borderId="8" xfId="0" applyFont="1" applyFill="1" applyBorder="1"/>
    <xf numFmtId="0" fontId="3" fillId="0" borderId="0" xfId="0" applyFont="1" applyAlignment="1" applyProtection="1">
      <alignment horizontal="left" vertical="top" wrapText="1"/>
      <protection locked="0"/>
    </xf>
    <xf numFmtId="0" fontId="5" fillId="2" borderId="0" xfId="4" applyNumberFormat="1" applyFill="1" applyAlignment="1">
      <alignment horizontal="justify" vertical="top" wrapText="1"/>
    </xf>
    <xf numFmtId="0" fontId="6" fillId="0" borderId="7" xfId="4" applyNumberFormat="1" applyFont="1" applyBorder="1" applyAlignment="1">
      <alignment horizontal="left" vertical="top" indent="1"/>
    </xf>
    <xf numFmtId="0" fontId="6" fillId="0" borderId="0" xfId="4" applyNumberFormat="1" applyFont="1" applyAlignment="1">
      <alignment horizontal="left" vertical="top" indent="1"/>
    </xf>
    <xf numFmtId="0" fontId="6" fillId="2" borderId="0" xfId="4" applyNumberFormat="1" applyFont="1" applyFill="1" applyAlignment="1">
      <alignment vertical="top" wrapText="1"/>
    </xf>
    <xf numFmtId="0" fontId="5" fillId="2" borderId="0" xfId="0" applyFont="1" applyFill="1" applyAlignment="1">
      <alignment horizontal="justify" vertical="top" wrapText="1"/>
    </xf>
    <xf numFmtId="0" fontId="5" fillId="2" borderId="0" xfId="4" applyNumberFormat="1" applyFill="1" applyAlignment="1">
      <alignment horizontal="left" vertical="top" wrapText="1"/>
    </xf>
    <xf numFmtId="164" fontId="6" fillId="3" borderId="9" xfId="4" applyFont="1" applyFill="1" applyBorder="1" applyAlignment="1">
      <alignment horizontal="justify" vertical="center" wrapText="1"/>
    </xf>
    <xf numFmtId="0" fontId="6" fillId="3" borderId="9" xfId="4" applyNumberFormat="1" applyFont="1" applyFill="1" applyBorder="1" applyAlignment="1">
      <alignment horizontal="justify" vertical="center" wrapText="1"/>
    </xf>
    <xf numFmtId="0" fontId="6" fillId="3" borderId="10" xfId="4" applyNumberFormat="1" applyFont="1" applyFill="1" applyBorder="1" applyAlignment="1">
      <alignment horizontal="justify" vertical="center" wrapText="1"/>
    </xf>
    <xf numFmtId="0" fontId="6" fillId="2" borderId="0" xfId="4" applyNumberFormat="1" applyFont="1" applyFill="1" applyAlignment="1">
      <alignment horizontal="justify" vertical="top" wrapText="1"/>
    </xf>
    <xf numFmtId="0" fontId="6" fillId="0" borderId="0" xfId="4" applyNumberFormat="1" applyFont="1" applyAlignment="1">
      <alignment horizontal="justify" vertical="top" wrapText="1"/>
    </xf>
    <xf numFmtId="0" fontId="5" fillId="0" borderId="0" xfId="4" applyNumberFormat="1" applyAlignment="1">
      <alignment horizontal="justify" vertical="top" wrapText="1"/>
    </xf>
    <xf numFmtId="0" fontId="21" fillId="0" borderId="0" xfId="4" applyNumberFormat="1" applyFont="1" applyAlignment="1">
      <alignment horizontal="justify" vertical="top" wrapText="1"/>
    </xf>
    <xf numFmtId="0" fontId="22" fillId="0" borderId="0" xfId="4" applyNumberFormat="1" applyFont="1" applyAlignment="1">
      <alignment horizontal="justify" vertical="top" wrapText="1"/>
    </xf>
    <xf numFmtId="0" fontId="24" fillId="0" borderId="0" xfId="4" applyNumberFormat="1" applyFont="1" applyAlignment="1">
      <alignment horizontal="justify" vertical="top" wrapText="1"/>
    </xf>
    <xf numFmtId="0" fontId="25" fillId="2" borderId="0" xfId="4" applyNumberFormat="1" applyFont="1" applyFill="1" applyAlignment="1">
      <alignment horizontal="justify" vertical="top" wrapText="1"/>
    </xf>
    <xf numFmtId="0" fontId="16" fillId="0" borderId="0" xfId="4" applyNumberFormat="1" applyFont="1" applyAlignment="1">
      <alignment horizontal="justify" vertical="top" wrapText="1"/>
    </xf>
    <xf numFmtId="0" fontId="10" fillId="2" borderId="0" xfId="4" applyNumberFormat="1" applyFont="1" applyFill="1" applyAlignment="1">
      <alignment horizontal="justify" vertical="top" wrapText="1"/>
    </xf>
    <xf numFmtId="164" fontId="6" fillId="3" borderId="9" xfId="4" applyFont="1" applyFill="1" applyBorder="1" applyAlignment="1">
      <alignment horizontal="justify" vertical="top" wrapText="1"/>
    </xf>
    <xf numFmtId="0" fontId="6" fillId="3" borderId="9" xfId="4" applyNumberFormat="1" applyFont="1" applyFill="1" applyBorder="1" applyAlignment="1">
      <alignment horizontal="justify" vertical="top" wrapText="1"/>
    </xf>
    <xf numFmtId="0" fontId="6" fillId="3" borderId="10" xfId="4" applyNumberFormat="1" applyFont="1" applyFill="1" applyBorder="1" applyAlignment="1">
      <alignment horizontal="justify" vertical="top" wrapText="1"/>
    </xf>
    <xf numFmtId="0" fontId="33" fillId="2" borderId="0" xfId="4" applyNumberFormat="1" applyFont="1" applyFill="1" applyAlignment="1">
      <alignment horizontal="left" vertical="top" wrapText="1"/>
    </xf>
    <xf numFmtId="0" fontId="33" fillId="2" borderId="0" xfId="4" applyNumberFormat="1" applyFont="1" applyFill="1" applyAlignment="1">
      <alignment horizontal="justify" vertical="top" wrapText="1"/>
    </xf>
    <xf numFmtId="0" fontId="33" fillId="2" borderId="0" xfId="4" applyNumberFormat="1" applyFont="1" applyFill="1" applyAlignment="1">
      <alignment horizontal="justify" wrapText="1"/>
    </xf>
    <xf numFmtId="0" fontId="16" fillId="2" borderId="0" xfId="4" applyNumberFormat="1" applyFont="1" applyFill="1" applyAlignment="1">
      <alignment horizontal="justify" vertical="top" wrapText="1"/>
    </xf>
    <xf numFmtId="0" fontId="6" fillId="3" borderId="11" xfId="9" applyNumberFormat="1" applyFont="1" applyFill="1" applyBorder="1" applyAlignment="1">
      <alignment horizontal="center" wrapText="1"/>
    </xf>
    <xf numFmtId="0" fontId="6" fillId="3" borderId="12" xfId="9" applyNumberFormat="1" applyFont="1" applyFill="1" applyBorder="1" applyAlignment="1">
      <alignment horizontal="center" wrapText="1"/>
    </xf>
    <xf numFmtId="0" fontId="6" fillId="3" borderId="9" xfId="9" applyNumberFormat="1" applyFont="1" applyFill="1" applyBorder="1" applyAlignment="1">
      <alignment horizontal="center" wrapText="1"/>
    </xf>
    <xf numFmtId="0" fontId="6" fillId="3" borderId="10" xfId="9" applyNumberFormat="1" applyFont="1" applyFill="1" applyBorder="1" applyAlignment="1">
      <alignment horizontal="center" wrapText="1"/>
    </xf>
    <xf numFmtId="0" fontId="0" fillId="3" borderId="11" xfId="0" applyFill="1" applyBorder="1" applyAlignment="1">
      <alignment horizontal="right" wrapText="1"/>
    </xf>
    <xf numFmtId="0" fontId="0" fillId="0" borderId="11" xfId="0" applyBorder="1" applyAlignment="1">
      <alignment horizontal="left" vertical="top" wrapText="1"/>
    </xf>
    <xf numFmtId="0" fontId="0" fillId="3" borderId="11" xfId="0" applyFill="1" applyBorder="1" applyAlignment="1">
      <alignment horizontal="right"/>
    </xf>
    <xf numFmtId="0" fontId="0" fillId="0" borderId="11" xfId="0" applyBorder="1"/>
    <xf numFmtId="0" fontId="0" fillId="3" borderId="11" xfId="0" applyFill="1" applyBorder="1" applyAlignment="1">
      <alignment horizontal="right" vertical="center"/>
    </xf>
    <xf numFmtId="0" fontId="5" fillId="2" borderId="11" xfId="0" applyFont="1" applyFill="1" applyBorder="1" applyAlignment="1">
      <alignment vertical="top"/>
    </xf>
    <xf numFmtId="0" fontId="45" fillId="0" borderId="24" xfId="0" applyFont="1" applyBorder="1" applyAlignment="1">
      <alignment horizontal="left" vertical="center"/>
    </xf>
    <xf numFmtId="0" fontId="45" fillId="0" borderId="25" xfId="0" applyFont="1" applyBorder="1" applyAlignment="1">
      <alignment horizontal="left" vertical="center"/>
    </xf>
    <xf numFmtId="0" fontId="45" fillId="0" borderId="28" xfId="0" applyFont="1" applyBorder="1" applyAlignment="1">
      <alignment horizontal="center" vertical="center" textRotation="90" wrapText="1"/>
    </xf>
    <xf numFmtId="0" fontId="45" fillId="0" borderId="18" xfId="0" applyFont="1" applyBorder="1" applyAlignment="1">
      <alignment horizontal="center" vertical="center" textRotation="90" wrapText="1"/>
    </xf>
    <xf numFmtId="0" fontId="4" fillId="0" borderId="34" xfId="0" applyFont="1" applyBorder="1" applyAlignment="1">
      <alignment vertical="top"/>
    </xf>
    <xf numFmtId="0" fontId="4" fillId="0" borderId="0" xfId="0" applyFont="1" applyAlignment="1">
      <alignment vertical="top"/>
    </xf>
    <xf numFmtId="0" fontId="4" fillId="0" borderId="35" xfId="0" applyFont="1" applyBorder="1" applyAlignment="1">
      <alignment vertical="top"/>
    </xf>
    <xf numFmtId="0" fontId="43" fillId="0" borderId="27" xfId="22" applyBorder="1" applyAlignment="1">
      <alignment horizontal="left" vertical="top" wrapText="1"/>
    </xf>
    <xf numFmtId="0" fontId="43" fillId="0" borderId="32" xfId="22" applyBorder="1" applyAlignment="1">
      <alignment horizontal="left" vertical="top" wrapText="1"/>
    </xf>
    <xf numFmtId="0" fontId="4" fillId="0" borderId="32" xfId="0" applyFont="1" applyBorder="1" applyAlignment="1">
      <alignment horizontal="left" vertical="top" wrapText="1"/>
    </xf>
    <xf numFmtId="0" fontId="4" fillId="0" borderId="33" xfId="0" applyFont="1" applyBorder="1" applyAlignment="1">
      <alignment horizontal="left" vertical="top" wrapText="1"/>
    </xf>
    <xf numFmtId="0" fontId="5" fillId="2" borderId="13" xfId="9" applyNumberFormat="1" applyFill="1" applyBorder="1" applyAlignment="1">
      <alignment horizontal="center" vertical="top" wrapText="1"/>
    </xf>
    <xf numFmtId="0" fontId="5" fillId="2" borderId="15" xfId="9" applyNumberFormat="1" applyFill="1" applyBorder="1" applyAlignment="1">
      <alignment horizontal="center" vertical="top" wrapText="1"/>
    </xf>
    <xf numFmtId="0" fontId="4" fillId="0" borderId="13" xfId="0" applyFont="1" applyBorder="1" applyAlignment="1">
      <alignment horizontal="center" vertical="top" wrapText="1"/>
    </xf>
    <xf numFmtId="0" fontId="4" fillId="0" borderId="15" xfId="0" applyFont="1" applyBorder="1" applyAlignment="1">
      <alignment horizontal="center" vertical="top" wrapText="1"/>
    </xf>
    <xf numFmtId="0" fontId="4" fillId="0" borderId="13" xfId="0" applyFont="1" applyBorder="1" applyAlignment="1">
      <alignment vertical="top" wrapText="1"/>
    </xf>
    <xf numFmtId="0" fontId="4" fillId="0" borderId="15" xfId="0" applyFont="1" applyBorder="1" applyAlignment="1">
      <alignment vertical="top" wrapText="1"/>
    </xf>
    <xf numFmtId="0" fontId="6" fillId="3" borderId="11" xfId="15" applyFont="1" applyFill="1" applyBorder="1" applyAlignment="1" applyProtection="1">
      <alignment horizontal="left" vertical="center"/>
      <protection locked="0"/>
    </xf>
    <xf numFmtId="0" fontId="5" fillId="2" borderId="1" xfId="15" applyFill="1" applyBorder="1" applyAlignment="1" applyProtection="1">
      <alignment horizontal="left" vertical="center" wrapText="1"/>
      <protection locked="0"/>
    </xf>
    <xf numFmtId="0" fontId="5" fillId="2" borderId="2" xfId="15" applyFill="1" applyBorder="1" applyAlignment="1" applyProtection="1">
      <alignment horizontal="left" vertical="center" wrapText="1"/>
      <protection locked="0"/>
    </xf>
    <xf numFmtId="0" fontId="5" fillId="2" borderId="3" xfId="15" applyFill="1" applyBorder="1" applyAlignment="1" applyProtection="1">
      <alignment horizontal="left" vertical="center" wrapText="1"/>
      <protection locked="0"/>
    </xf>
    <xf numFmtId="0" fontId="5" fillId="2" borderId="4" xfId="15" applyFill="1" applyBorder="1" applyAlignment="1" applyProtection="1">
      <alignment horizontal="left" vertical="center" wrapText="1"/>
      <protection locked="0"/>
    </xf>
    <xf numFmtId="0" fontId="5" fillId="2" borderId="5" xfId="15" applyFill="1" applyBorder="1" applyAlignment="1" applyProtection="1">
      <alignment horizontal="left" vertical="center" wrapText="1"/>
      <protection locked="0"/>
    </xf>
    <xf numFmtId="0" fontId="5" fillId="2" borderId="6" xfId="15" applyFill="1" applyBorder="1" applyAlignment="1" applyProtection="1">
      <alignment horizontal="left" vertical="center" wrapText="1"/>
      <protection locked="0"/>
    </xf>
    <xf numFmtId="0" fontId="6" fillId="3" borderId="11" xfId="15" applyFont="1" applyFill="1" applyBorder="1" applyAlignment="1" applyProtection="1">
      <alignment horizontal="left" vertical="center" wrapText="1"/>
      <protection locked="0"/>
    </xf>
    <xf numFmtId="0" fontId="5" fillId="2" borderId="7" xfId="15" applyFill="1" applyBorder="1" applyAlignment="1" applyProtection="1">
      <alignment horizontal="left" vertical="center" wrapText="1"/>
      <protection locked="0"/>
    </xf>
    <xf numFmtId="0" fontId="5" fillId="2" borderId="0" xfId="15" applyFill="1" applyAlignment="1" applyProtection="1">
      <alignment horizontal="left" vertical="center" wrapText="1"/>
      <protection locked="0"/>
    </xf>
    <xf numFmtId="0" fontId="5" fillId="2" borderId="8" xfId="15" applyFill="1" applyBorder="1" applyAlignment="1" applyProtection="1">
      <alignment horizontal="left" vertical="center" wrapText="1"/>
      <protection locked="0"/>
    </xf>
    <xf numFmtId="0" fontId="5" fillId="2" borderId="12" xfId="15" applyFill="1" applyBorder="1" applyAlignment="1" applyProtection="1">
      <alignment horizontal="left" vertical="center" wrapText="1"/>
      <protection locked="0"/>
    </xf>
    <xf numFmtId="0" fontId="5" fillId="2" borderId="9" xfId="15" applyFill="1" applyBorder="1" applyAlignment="1" applyProtection="1">
      <alignment horizontal="left" vertical="center" wrapText="1"/>
      <protection locked="0"/>
    </xf>
    <xf numFmtId="0" fontId="5" fillId="2" borderId="10" xfId="15" applyFill="1" applyBorder="1" applyAlignment="1" applyProtection="1">
      <alignment horizontal="left" vertical="center" wrapText="1"/>
      <protection locked="0"/>
    </xf>
    <xf numFmtId="0" fontId="6" fillId="3" borderId="12" xfId="15" applyFont="1" applyFill="1" applyBorder="1" applyAlignment="1" applyProtection="1">
      <alignment horizontal="left" vertical="center" wrapText="1"/>
      <protection locked="0"/>
    </xf>
    <xf numFmtId="0" fontId="5" fillId="3" borderId="9" xfId="15" applyFill="1" applyBorder="1" applyAlignment="1">
      <alignment horizontal="left" vertical="center" wrapText="1"/>
    </xf>
    <xf numFmtId="0" fontId="5" fillId="3" borderId="11" xfId="15" applyFill="1" applyBorder="1" applyAlignment="1" applyProtection="1">
      <alignment horizontal="left" vertical="center" wrapText="1"/>
      <protection locked="0"/>
    </xf>
    <xf numFmtId="0" fontId="5" fillId="3" borderId="11" xfId="15" applyFill="1" applyBorder="1" applyAlignment="1" applyProtection="1">
      <alignment horizontal="left" vertical="center"/>
      <protection locked="0"/>
    </xf>
    <xf numFmtId="17" fontId="5" fillId="0" borderId="12" xfId="15" quotePrefix="1" applyNumberFormat="1" applyBorder="1" applyAlignment="1" applyProtection="1">
      <alignment horizontal="left" vertical="center" wrapText="1"/>
      <protection locked="0"/>
    </xf>
    <xf numFmtId="17" fontId="5" fillId="0" borderId="9" xfId="15" quotePrefix="1" applyNumberFormat="1" applyBorder="1" applyAlignment="1" applyProtection="1">
      <alignment horizontal="left" vertical="center" wrapText="1"/>
      <protection locked="0"/>
    </xf>
    <xf numFmtId="17" fontId="5" fillId="0" borderId="10" xfId="15" quotePrefix="1" applyNumberFormat="1" applyBorder="1" applyAlignment="1" applyProtection="1">
      <alignment horizontal="left" vertical="center" wrapText="1"/>
      <protection locked="0"/>
    </xf>
    <xf numFmtId="0" fontId="5" fillId="0" borderId="12" xfId="15" applyBorder="1" applyAlignment="1" applyProtection="1">
      <alignment horizontal="left" vertical="center" wrapText="1"/>
      <protection locked="0"/>
    </xf>
    <xf numFmtId="0" fontId="5" fillId="0" borderId="9" xfId="15" applyBorder="1" applyAlignment="1" applyProtection="1">
      <alignment horizontal="left" vertical="center" wrapText="1"/>
      <protection locked="0"/>
    </xf>
    <xf numFmtId="0" fontId="5" fillId="0" borderId="10" xfId="15" applyBorder="1" applyAlignment="1" applyProtection="1">
      <alignment horizontal="left" vertical="center" wrapText="1"/>
      <protection locked="0"/>
    </xf>
    <xf numFmtId="0" fontId="5" fillId="0" borderId="12" xfId="2" applyBorder="1" applyAlignment="1" applyProtection="1">
      <alignment horizontal="left" vertical="center" wrapText="1"/>
      <protection locked="0"/>
    </xf>
    <xf numFmtId="0" fontId="5" fillId="0" borderId="9" xfId="2" applyBorder="1" applyAlignment="1" applyProtection="1">
      <alignment horizontal="left" vertical="center" wrapText="1"/>
      <protection locked="0"/>
    </xf>
    <xf numFmtId="0" fontId="5" fillId="0" borderId="10" xfId="2" applyBorder="1" applyAlignment="1" applyProtection="1">
      <alignment horizontal="left" vertical="center" wrapText="1"/>
      <protection locked="0"/>
    </xf>
    <xf numFmtId="166" fontId="5" fillId="2" borderId="12" xfId="15" applyNumberFormat="1" applyFill="1" applyBorder="1" applyAlignment="1" applyProtection="1">
      <alignment horizontal="left" vertical="center" wrapText="1"/>
      <protection locked="0"/>
    </xf>
    <xf numFmtId="166" fontId="5" fillId="2" borderId="9" xfId="15" applyNumberFormat="1" applyFill="1" applyBorder="1" applyAlignment="1" applyProtection="1">
      <alignment horizontal="left" vertical="center" wrapText="1"/>
      <protection locked="0"/>
    </xf>
    <xf numFmtId="166" fontId="5" fillId="2" borderId="10" xfId="15" applyNumberFormat="1" applyFill="1" applyBorder="1" applyAlignment="1" applyProtection="1">
      <alignment horizontal="left" vertical="center" wrapText="1"/>
      <protection locked="0"/>
    </xf>
    <xf numFmtId="0" fontId="6" fillId="3" borderId="1" xfId="15" applyFont="1" applyFill="1" applyBorder="1" applyAlignment="1" applyProtection="1">
      <alignment horizontal="left" vertical="center" wrapText="1"/>
      <protection locked="0"/>
    </xf>
    <xf numFmtId="0" fontId="6" fillId="3" borderId="3" xfId="15" applyFont="1" applyFill="1" applyBorder="1" applyAlignment="1" applyProtection="1">
      <alignment horizontal="left" vertical="center" wrapText="1"/>
      <protection locked="0"/>
    </xf>
    <xf numFmtId="0" fontId="6" fillId="3" borderId="7" xfId="15" applyFont="1" applyFill="1" applyBorder="1" applyAlignment="1" applyProtection="1">
      <alignment horizontal="left" vertical="center" wrapText="1"/>
      <protection locked="0"/>
    </xf>
    <xf numFmtId="0" fontId="6" fillId="3" borderId="8" xfId="15" applyFont="1" applyFill="1" applyBorder="1" applyAlignment="1" applyProtection="1">
      <alignment horizontal="left" vertical="center" wrapText="1"/>
      <protection locked="0"/>
    </xf>
    <xf numFmtId="0" fontId="6" fillId="3" borderId="4" xfId="15" applyFont="1" applyFill="1" applyBorder="1" applyAlignment="1" applyProtection="1">
      <alignment horizontal="left" vertical="center" wrapText="1"/>
      <protection locked="0"/>
    </xf>
    <xf numFmtId="0" fontId="6" fillId="3" borderId="6" xfId="15" applyFont="1" applyFill="1" applyBorder="1" applyAlignment="1" applyProtection="1">
      <alignment horizontal="left" vertical="center" wrapText="1"/>
      <protection locked="0"/>
    </xf>
    <xf numFmtId="0" fontId="41" fillId="0" borderId="1" xfId="2" applyFont="1" applyBorder="1" applyAlignment="1" applyProtection="1">
      <alignment horizontal="left" vertical="center" wrapText="1"/>
      <protection locked="0"/>
    </xf>
    <xf numFmtId="0" fontId="41" fillId="0" borderId="2" xfId="2" applyFont="1" applyBorder="1" applyAlignment="1" applyProtection="1">
      <alignment horizontal="left" vertical="center" wrapText="1"/>
      <protection locked="0"/>
    </xf>
    <xf numFmtId="0" fontId="41" fillId="0" borderId="3" xfId="2" applyFont="1" applyBorder="1" applyAlignment="1" applyProtection="1">
      <alignment horizontal="left" vertical="center" wrapText="1"/>
      <protection locked="0"/>
    </xf>
    <xf numFmtId="0" fontId="41" fillId="0" borderId="7" xfId="2" applyFont="1" applyBorder="1" applyAlignment="1" applyProtection="1">
      <alignment horizontal="left" vertical="center" wrapText="1"/>
      <protection locked="0"/>
    </xf>
    <xf numFmtId="0" fontId="41" fillId="0" borderId="0" xfId="2" applyFont="1" applyAlignment="1" applyProtection="1">
      <alignment horizontal="left" vertical="center" wrapText="1"/>
      <protection locked="0"/>
    </xf>
    <xf numFmtId="0" fontId="41" fillId="0" borderId="8" xfId="2" applyFont="1" applyBorder="1" applyAlignment="1" applyProtection="1">
      <alignment horizontal="left" vertical="center" wrapText="1"/>
      <protection locked="0"/>
    </xf>
    <xf numFmtId="0" fontId="41" fillId="0" borderId="4" xfId="2" applyFont="1" applyBorder="1" applyAlignment="1" applyProtection="1">
      <alignment horizontal="left" vertical="center" wrapText="1"/>
      <protection locked="0"/>
    </xf>
    <xf numFmtId="0" fontId="41" fillId="0" borderId="5" xfId="2" applyFont="1" applyBorder="1" applyAlignment="1" applyProtection="1">
      <alignment horizontal="left" vertical="center" wrapText="1"/>
      <protection locked="0"/>
    </xf>
    <xf numFmtId="0" fontId="41" fillId="0" borderId="6" xfId="2" applyFont="1" applyBorder="1" applyAlignment="1" applyProtection="1">
      <alignment horizontal="left" vertical="center" wrapText="1"/>
      <protection locked="0"/>
    </xf>
    <xf numFmtId="0" fontId="6" fillId="3" borderId="11" xfId="17" applyFont="1" applyFill="1" applyBorder="1" applyAlignment="1" applyProtection="1">
      <alignment horizontal="center"/>
      <protection locked="0"/>
    </xf>
    <xf numFmtId="0" fontId="13" fillId="3" borderId="11" xfId="13" applyFont="1" applyFill="1" applyBorder="1" applyAlignment="1">
      <alignment horizontal="center"/>
    </xf>
    <xf numFmtId="0" fontId="6" fillId="3" borderId="12" xfId="17" applyFont="1" applyFill="1" applyBorder="1" applyAlignment="1" applyProtection="1">
      <alignment horizontal="center"/>
      <protection locked="0"/>
    </xf>
    <xf numFmtId="0" fontId="6" fillId="3" borderId="10" xfId="17" applyFont="1" applyFill="1" applyBorder="1" applyAlignment="1" applyProtection="1">
      <alignment horizontal="center"/>
      <protection locked="0"/>
    </xf>
    <xf numFmtId="0" fontId="6" fillId="3" borderId="11" xfId="17" applyFont="1" applyFill="1" applyBorder="1" applyAlignment="1" applyProtection="1">
      <alignment horizontal="left" vertical="center" wrapText="1"/>
      <protection locked="0"/>
    </xf>
    <xf numFmtId="0" fontId="5" fillId="3" borderId="11" xfId="17" applyFill="1" applyBorder="1" applyAlignment="1" applyProtection="1">
      <alignment horizontal="left" vertical="center" wrapText="1"/>
      <protection locked="0"/>
    </xf>
    <xf numFmtId="0" fontId="5" fillId="0" borderId="12" xfId="17" applyBorder="1" applyAlignment="1" applyProtection="1">
      <alignment horizontal="center" vertical="top" wrapText="1"/>
      <protection locked="0"/>
    </xf>
    <xf numFmtId="0" fontId="7" fillId="0" borderId="10" xfId="13" applyFont="1" applyBorder="1" applyAlignment="1">
      <alignment horizontal="center" vertical="top"/>
    </xf>
    <xf numFmtId="0" fontId="6" fillId="3" borderId="12" xfId="17" applyFont="1" applyFill="1" applyBorder="1" applyAlignment="1" applyProtection="1">
      <alignment horizontal="left" vertical="center" wrapText="1"/>
      <protection locked="0"/>
    </xf>
    <xf numFmtId="0" fontId="5" fillId="3" borderId="9" xfId="17" applyFill="1" applyBorder="1" applyAlignment="1" applyProtection="1">
      <alignment horizontal="left" vertical="center" wrapText="1"/>
      <protection locked="0"/>
    </xf>
    <xf numFmtId="14" fontId="5" fillId="0" borderId="12" xfId="17" applyNumberFormat="1" applyBorder="1" applyAlignment="1" applyProtection="1">
      <alignment horizontal="center" vertical="top"/>
      <protection locked="0"/>
    </xf>
    <xf numFmtId="14" fontId="5" fillId="0" borderId="1" xfId="17" applyNumberFormat="1" applyBorder="1" applyAlignment="1" applyProtection="1">
      <alignment horizontal="center" vertical="center"/>
      <protection locked="0"/>
    </xf>
    <xf numFmtId="14" fontId="5" fillId="0" borderId="3" xfId="17" applyNumberFormat="1" applyBorder="1" applyAlignment="1" applyProtection="1">
      <alignment horizontal="center" vertical="center"/>
      <protection locked="0"/>
    </xf>
    <xf numFmtId="14" fontId="5" fillId="0" borderId="4" xfId="17" applyNumberFormat="1" applyBorder="1" applyAlignment="1" applyProtection="1">
      <alignment horizontal="center" vertical="center"/>
      <protection locked="0"/>
    </xf>
    <xf numFmtId="14" fontId="5" fillId="0" borderId="6" xfId="17" applyNumberFormat="1" applyBorder="1" applyAlignment="1" applyProtection="1">
      <alignment horizontal="center" vertical="center"/>
      <protection locked="0"/>
    </xf>
    <xf numFmtId="164" fontId="5" fillId="0" borderId="1" xfId="17" applyNumberFormat="1" applyBorder="1" applyAlignment="1" applyProtection="1">
      <alignment horizontal="center" vertical="center" wrapText="1"/>
      <protection locked="0"/>
    </xf>
    <xf numFmtId="164" fontId="5" fillId="0" borderId="3" xfId="17" applyNumberFormat="1" applyBorder="1" applyAlignment="1" applyProtection="1">
      <alignment horizontal="center" vertical="center" wrapText="1"/>
      <protection locked="0"/>
    </xf>
    <xf numFmtId="164" fontId="5" fillId="0" borderId="4" xfId="17" applyNumberFormat="1" applyBorder="1" applyAlignment="1" applyProtection="1">
      <alignment horizontal="center" vertical="center" wrapText="1"/>
      <protection locked="0"/>
    </xf>
    <xf numFmtId="164" fontId="5" fillId="0" borderId="6" xfId="17" applyNumberFormat="1" applyBorder="1" applyAlignment="1" applyProtection="1">
      <alignment horizontal="center" vertical="center" wrapText="1"/>
      <protection locked="0"/>
    </xf>
    <xf numFmtId="0" fontId="6" fillId="3" borderId="1" xfId="17" applyFont="1" applyFill="1" applyBorder="1" applyAlignment="1" applyProtection="1">
      <alignment horizontal="left" vertical="top" wrapText="1"/>
      <protection locked="0"/>
    </xf>
    <xf numFmtId="0" fontId="6" fillId="3" borderId="2" xfId="17" applyFont="1" applyFill="1" applyBorder="1" applyAlignment="1" applyProtection="1">
      <alignment horizontal="left" vertical="top" wrapText="1"/>
      <protection locked="0"/>
    </xf>
    <xf numFmtId="0" fontId="6" fillId="3" borderId="7" xfId="17" applyFont="1" applyFill="1" applyBorder="1" applyAlignment="1" applyProtection="1">
      <alignment horizontal="left" vertical="top" wrapText="1"/>
      <protection locked="0"/>
    </xf>
    <xf numFmtId="0" fontId="6" fillId="3" borderId="0" xfId="17" applyFont="1" applyFill="1" applyAlignment="1" applyProtection="1">
      <alignment horizontal="left" vertical="top" wrapText="1"/>
      <protection locked="0"/>
    </xf>
    <xf numFmtId="0" fontId="6" fillId="3" borderId="4" xfId="17" applyFont="1" applyFill="1" applyBorder="1" applyAlignment="1" applyProtection="1">
      <alignment horizontal="left" vertical="top" wrapText="1"/>
      <protection locked="0"/>
    </xf>
    <xf numFmtId="0" fontId="6" fillId="3" borderId="5" xfId="17" applyFont="1" applyFill="1" applyBorder="1" applyAlignment="1" applyProtection="1">
      <alignment horizontal="left" vertical="top" wrapText="1"/>
      <protection locked="0"/>
    </xf>
    <xf numFmtId="0" fontId="5" fillId="0" borderId="1" xfId="17" applyBorder="1" applyAlignment="1" applyProtection="1">
      <alignment horizontal="left" vertical="top" wrapText="1"/>
      <protection locked="0"/>
    </xf>
    <xf numFmtId="0" fontId="6" fillId="0" borderId="3" xfId="17" applyFont="1" applyBorder="1" applyAlignment="1" applyProtection="1">
      <alignment horizontal="left" vertical="top"/>
      <protection locked="0"/>
    </xf>
    <xf numFmtId="0" fontId="6" fillId="0" borderId="7" xfId="17" applyFont="1" applyBorder="1" applyAlignment="1" applyProtection="1">
      <alignment horizontal="left" vertical="top"/>
      <protection locked="0"/>
    </xf>
    <xf numFmtId="0" fontId="6" fillId="0" borderId="8" xfId="17" applyFont="1" applyBorder="1" applyAlignment="1" applyProtection="1">
      <alignment horizontal="left" vertical="top"/>
      <protection locked="0"/>
    </xf>
    <xf numFmtId="0" fontId="6" fillId="0" borderId="4" xfId="17" applyFont="1" applyBorder="1" applyAlignment="1" applyProtection="1">
      <alignment horizontal="left" vertical="top"/>
      <protection locked="0"/>
    </xf>
    <xf numFmtId="0" fontId="6" fillId="0" borderId="6" xfId="17" applyFont="1" applyBorder="1" applyAlignment="1" applyProtection="1">
      <alignment horizontal="left" vertical="top"/>
      <protection locked="0"/>
    </xf>
    <xf numFmtId="0" fontId="5" fillId="0" borderId="3" xfId="17" applyBorder="1" applyAlignment="1" applyProtection="1">
      <alignment horizontal="left" vertical="top" wrapText="1"/>
      <protection locked="0"/>
    </xf>
    <xf numFmtId="0" fontId="5" fillId="0" borderId="7" xfId="17" applyBorder="1" applyAlignment="1" applyProtection="1">
      <alignment horizontal="left" vertical="top" wrapText="1"/>
      <protection locked="0"/>
    </xf>
    <xf numFmtId="0" fontId="5" fillId="0" borderId="8" xfId="17" applyBorder="1" applyAlignment="1" applyProtection="1">
      <alignment horizontal="left" vertical="top" wrapText="1"/>
      <protection locked="0"/>
    </xf>
    <xf numFmtId="0" fontId="5" fillId="0" borderId="4" xfId="17" applyBorder="1" applyAlignment="1" applyProtection="1">
      <alignment horizontal="left" vertical="top" wrapText="1"/>
      <protection locked="0"/>
    </xf>
    <xf numFmtId="0" fontId="5" fillId="0" borderId="6" xfId="17" applyBorder="1" applyAlignment="1" applyProtection="1">
      <alignment horizontal="left" vertical="top" wrapText="1"/>
      <protection locked="0"/>
    </xf>
    <xf numFmtId="164" fontId="5" fillId="0" borderId="12" xfId="17" applyNumberFormat="1" applyBorder="1" applyAlignment="1" applyProtection="1">
      <alignment horizontal="center" vertical="top" wrapText="1"/>
      <protection locked="0"/>
    </xf>
    <xf numFmtId="164" fontId="5" fillId="0" borderId="10" xfId="17" applyNumberFormat="1" applyBorder="1" applyAlignment="1" applyProtection="1">
      <alignment horizontal="center" vertical="top" wrapText="1"/>
      <protection locked="0"/>
    </xf>
    <xf numFmtId="164" fontId="5" fillId="0" borderId="7" xfId="17" applyNumberFormat="1" applyBorder="1" applyAlignment="1" applyProtection="1">
      <alignment horizontal="center" vertical="center" wrapText="1"/>
      <protection locked="0"/>
    </xf>
    <xf numFmtId="164" fontId="5" fillId="0" borderId="8" xfId="17" applyNumberFormat="1" applyBorder="1" applyAlignment="1" applyProtection="1">
      <alignment horizontal="center" vertical="center" wrapText="1"/>
      <protection locked="0"/>
    </xf>
    <xf numFmtId="164" fontId="6" fillId="3" borderId="11" xfId="18" applyFont="1" applyFill="1" applyBorder="1" applyAlignment="1">
      <alignment horizontal="center" wrapText="1"/>
    </xf>
    <xf numFmtId="0" fontId="6" fillId="5" borderId="1" xfId="15" applyFont="1" applyFill="1" applyBorder="1" applyProtection="1">
      <protection locked="0"/>
    </xf>
    <xf numFmtId="0" fontId="6" fillId="5" borderId="2" xfId="15" applyFont="1" applyFill="1" applyBorder="1" applyProtection="1">
      <protection locked="0"/>
    </xf>
    <xf numFmtId="0" fontId="6" fillId="5" borderId="9" xfId="15" applyFont="1" applyFill="1" applyBorder="1" applyProtection="1">
      <protection locked="0"/>
    </xf>
    <xf numFmtId="0" fontId="6" fillId="5" borderId="10" xfId="15" applyFont="1" applyFill="1" applyBorder="1" applyProtection="1">
      <protection locked="0"/>
    </xf>
    <xf numFmtId="0" fontId="5" fillId="2" borderId="11" xfId="15" applyFill="1" applyBorder="1" applyAlignment="1" applyProtection="1">
      <alignment horizontal="center" vertical="center"/>
      <protection locked="0"/>
    </xf>
    <xf numFmtId="0" fontId="5" fillId="0" borderId="11" xfId="15" applyBorder="1" applyAlignment="1" applyProtection="1">
      <alignment horizontal="center" vertical="center" wrapText="1"/>
      <protection locked="0"/>
    </xf>
    <xf numFmtId="14" fontId="5" fillId="0" borderId="11" xfId="15" applyNumberFormat="1" applyBorder="1" applyAlignment="1" applyProtection="1">
      <alignment horizontal="center" vertical="center" wrapText="1"/>
      <protection locked="0"/>
    </xf>
    <xf numFmtId="0" fontId="5" fillId="0" borderId="11" xfId="15" applyBorder="1" applyAlignment="1" applyProtection="1">
      <alignment horizontal="center" vertical="center"/>
      <protection locked="0"/>
    </xf>
    <xf numFmtId="0" fontId="42" fillId="0" borderId="11" xfId="15" applyFont="1" applyBorder="1" applyAlignment="1" applyProtection="1">
      <alignment horizontal="center" vertical="center"/>
      <protection locked="0"/>
    </xf>
    <xf numFmtId="0" fontId="15" fillId="0" borderId="11" xfId="15" applyFont="1" applyBorder="1" applyAlignment="1" applyProtection="1">
      <alignment horizontal="center" vertical="center"/>
      <protection locked="0"/>
    </xf>
    <xf numFmtId="0" fontId="5" fillId="2" borderId="9" xfId="15" applyFill="1" applyBorder="1" applyProtection="1">
      <protection locked="0"/>
    </xf>
    <xf numFmtId="0" fontId="6" fillId="3" borderId="10" xfId="17" applyFont="1" applyFill="1" applyBorder="1" applyAlignment="1" applyProtection="1">
      <alignment horizontal="left" vertical="center" wrapText="1"/>
      <protection locked="0"/>
    </xf>
    <xf numFmtId="164" fontId="5" fillId="0" borderId="12" xfId="17" applyNumberFormat="1" applyBorder="1" applyAlignment="1" applyProtection="1">
      <alignment horizontal="center" vertical="top"/>
      <protection locked="0"/>
    </xf>
    <xf numFmtId="164" fontId="5" fillId="0" borderId="10" xfId="17" applyNumberFormat="1" applyBorder="1" applyAlignment="1" applyProtection="1">
      <alignment horizontal="center" vertical="top"/>
      <protection locked="0"/>
    </xf>
    <xf numFmtId="0" fontId="25" fillId="0" borderId="11" xfId="15" applyFont="1" applyBorder="1" applyAlignment="1" applyProtection="1">
      <alignment horizontal="center" vertical="center"/>
      <protection locked="0"/>
    </xf>
    <xf numFmtId="0" fontId="6" fillId="5" borderId="12" xfId="15" applyFont="1" applyFill="1" applyBorder="1" applyProtection="1">
      <protection locked="0"/>
    </xf>
    <xf numFmtId="0" fontId="6" fillId="3" borderId="12" xfId="15" applyFont="1" applyFill="1" applyBorder="1" applyAlignment="1" applyProtection="1">
      <alignment horizontal="left"/>
      <protection locked="0"/>
    </xf>
    <xf numFmtId="0" fontId="6" fillId="3" borderId="10" xfId="15" applyFont="1" applyFill="1" applyBorder="1" applyAlignment="1" applyProtection="1">
      <alignment horizontal="left"/>
      <protection locked="0"/>
    </xf>
    <xf numFmtId="0" fontId="5" fillId="2" borderId="1" xfId="15" applyFill="1" applyBorder="1" applyAlignment="1" applyProtection="1">
      <alignment horizontal="center" vertical="center"/>
      <protection locked="0"/>
    </xf>
    <xf numFmtId="0" fontId="5" fillId="2" borderId="3" xfId="15" applyFill="1" applyBorder="1" applyAlignment="1" applyProtection="1">
      <alignment horizontal="center" vertical="center"/>
      <protection locked="0"/>
    </xf>
    <xf numFmtId="0" fontId="5" fillId="2" borderId="4" xfId="15" applyFill="1" applyBorder="1" applyAlignment="1" applyProtection="1">
      <alignment horizontal="center" vertical="center"/>
      <protection locked="0"/>
    </xf>
    <xf numFmtId="0" fontId="5" fillId="2" borderId="6" xfId="15" applyFill="1" applyBorder="1" applyAlignment="1" applyProtection="1">
      <alignment horizontal="center" vertical="center"/>
      <protection locked="0"/>
    </xf>
    <xf numFmtId="0" fontId="5" fillId="2" borderId="1" xfId="15" applyFill="1" applyBorder="1" applyAlignment="1" applyProtection="1">
      <alignment vertical="center" wrapText="1"/>
      <protection locked="0"/>
    </xf>
    <xf numFmtId="0" fontId="5" fillId="2" borderId="2" xfId="15" applyFill="1" applyBorder="1" applyAlignment="1" applyProtection="1">
      <alignment vertical="center" wrapText="1"/>
      <protection locked="0"/>
    </xf>
    <xf numFmtId="0" fontId="5" fillId="2" borderId="3" xfId="15" applyFill="1" applyBorder="1" applyAlignment="1" applyProtection="1">
      <alignment vertical="center" wrapText="1"/>
      <protection locked="0"/>
    </xf>
    <xf numFmtId="0" fontId="5" fillId="2" borderId="4" xfId="15" applyFill="1" applyBorder="1" applyAlignment="1" applyProtection="1">
      <alignment vertical="center" wrapText="1"/>
      <protection locked="0"/>
    </xf>
    <xf numFmtId="0" fontId="5" fillId="2" borderId="5" xfId="15" applyFill="1" applyBorder="1" applyAlignment="1" applyProtection="1">
      <alignment vertical="center" wrapText="1"/>
      <protection locked="0"/>
    </xf>
    <xf numFmtId="0" fontId="5" fillId="2" borderId="6" xfId="15" applyFill="1" applyBorder="1" applyAlignment="1" applyProtection="1">
      <alignment vertical="center" wrapText="1"/>
      <protection locked="0"/>
    </xf>
    <xf numFmtId="0" fontId="42" fillId="2" borderId="1" xfId="15" applyFont="1" applyFill="1" applyBorder="1" applyAlignment="1" applyProtection="1">
      <alignment horizontal="center" vertical="center"/>
      <protection locked="0"/>
    </xf>
    <xf numFmtId="0" fontId="42" fillId="2" borderId="3" xfId="15" applyFont="1" applyFill="1" applyBorder="1" applyAlignment="1" applyProtection="1">
      <alignment horizontal="center" vertical="center"/>
      <protection locked="0"/>
    </xf>
    <xf numFmtId="0" fontId="42" fillId="2" borderId="4" xfId="15" applyFont="1" applyFill="1" applyBorder="1" applyAlignment="1" applyProtection="1">
      <alignment horizontal="center" vertical="center"/>
      <protection locked="0"/>
    </xf>
    <xf numFmtId="0" fontId="42" fillId="2" borderId="6" xfId="15" applyFont="1" applyFill="1" applyBorder="1" applyAlignment="1" applyProtection="1">
      <alignment horizontal="center" vertical="center"/>
      <protection locked="0"/>
    </xf>
    <xf numFmtId="0" fontId="15" fillId="2" borderId="1" xfId="15" applyFont="1" applyFill="1" applyBorder="1" applyAlignment="1" applyProtection="1">
      <alignment horizontal="center" vertical="center"/>
      <protection locked="0"/>
    </xf>
    <xf numFmtId="0" fontId="25" fillId="2" borderId="3" xfId="15" applyFont="1" applyFill="1" applyBorder="1" applyAlignment="1" applyProtection="1">
      <alignment horizontal="center" vertical="center"/>
      <protection locked="0"/>
    </xf>
    <xf numFmtId="0" fontId="25" fillId="2" borderId="4" xfId="15" applyFont="1" applyFill="1" applyBorder="1" applyAlignment="1" applyProtection="1">
      <alignment horizontal="center" vertical="center"/>
      <protection locked="0"/>
    </xf>
    <xf numFmtId="0" fontId="25" fillId="2" borderId="6" xfId="15" applyFont="1" applyFill="1" applyBorder="1" applyAlignment="1" applyProtection="1">
      <alignment horizontal="center" vertical="center"/>
      <protection locked="0"/>
    </xf>
    <xf numFmtId="14" fontId="5" fillId="0" borderId="10" xfId="17" applyNumberFormat="1" applyBorder="1" applyAlignment="1" applyProtection="1">
      <alignment horizontal="center" vertical="top"/>
      <protection locked="0"/>
    </xf>
    <xf numFmtId="14" fontId="5" fillId="2" borderId="12" xfId="17" applyNumberFormat="1" applyFill="1" applyBorder="1" applyAlignment="1" applyProtection="1">
      <alignment horizontal="center" vertical="top"/>
      <protection locked="0"/>
    </xf>
    <xf numFmtId="14" fontId="5" fillId="2" borderId="10" xfId="17" applyNumberFormat="1" applyFill="1" applyBorder="1" applyAlignment="1" applyProtection="1">
      <alignment horizontal="center" vertical="top"/>
      <protection locked="0"/>
    </xf>
    <xf numFmtId="0" fontId="15" fillId="2" borderId="7" xfId="15" applyFont="1" applyFill="1" applyBorder="1" applyAlignment="1" applyProtection="1">
      <alignment horizontal="center" vertical="center"/>
      <protection locked="0"/>
    </xf>
    <xf numFmtId="0" fontId="25" fillId="2" borderId="8" xfId="15" applyFont="1" applyFill="1" applyBorder="1" applyAlignment="1" applyProtection="1">
      <alignment horizontal="center" vertical="center"/>
      <protection locked="0"/>
    </xf>
    <xf numFmtId="0" fontId="5" fillId="0" borderId="1" xfId="15" applyBorder="1" applyAlignment="1" applyProtection="1">
      <alignment vertical="center" wrapText="1"/>
      <protection locked="0"/>
    </xf>
    <xf numFmtId="0" fontId="5" fillId="0" borderId="2" xfId="15" applyBorder="1" applyAlignment="1" applyProtection="1">
      <alignment vertical="center" wrapText="1"/>
      <protection locked="0"/>
    </xf>
    <xf numFmtId="0" fontId="5" fillId="0" borderId="3" xfId="15" applyBorder="1" applyAlignment="1" applyProtection="1">
      <alignment vertical="center" wrapText="1"/>
      <protection locked="0"/>
    </xf>
    <xf numFmtId="0" fontId="5" fillId="0" borderId="7" xfId="15" applyBorder="1" applyAlignment="1" applyProtection="1">
      <alignment vertical="center" wrapText="1"/>
      <protection locked="0"/>
    </xf>
    <xf numFmtId="0" fontId="5" fillId="0" borderId="0" xfId="15" applyAlignment="1" applyProtection="1">
      <alignment vertical="center" wrapText="1"/>
      <protection locked="0"/>
    </xf>
    <xf numFmtId="0" fontId="5" fillId="0" borderId="8" xfId="15" applyBorder="1" applyAlignment="1" applyProtection="1">
      <alignment vertical="center" wrapText="1"/>
      <protection locked="0"/>
    </xf>
    <xf numFmtId="0" fontId="5" fillId="0" borderId="4" xfId="15" applyBorder="1" applyAlignment="1" applyProtection="1">
      <alignment vertical="center" wrapText="1"/>
      <protection locked="0"/>
    </xf>
    <xf numFmtId="0" fontId="5" fillId="0" borderId="5" xfId="15" applyBorder="1" applyAlignment="1" applyProtection="1">
      <alignment vertical="center" wrapText="1"/>
      <protection locked="0"/>
    </xf>
    <xf numFmtId="0" fontId="5" fillId="0" borderId="6" xfId="15" applyBorder="1" applyAlignment="1" applyProtection="1">
      <alignment vertical="center" wrapText="1"/>
      <protection locked="0"/>
    </xf>
    <xf numFmtId="165" fontId="6" fillId="3" borderId="12" xfId="19" applyFont="1" applyFill="1" applyBorder="1" applyAlignment="1" applyProtection="1">
      <alignment horizontal="center"/>
      <protection locked="0"/>
    </xf>
    <xf numFmtId="165" fontId="6" fillId="3" borderId="9" xfId="19" applyFont="1" applyFill="1" applyBorder="1" applyAlignment="1" applyProtection="1">
      <alignment horizontal="center"/>
      <protection locked="0"/>
    </xf>
    <xf numFmtId="165" fontId="6" fillId="3" borderId="10" xfId="19" applyFont="1" applyFill="1" applyBorder="1" applyAlignment="1" applyProtection="1">
      <alignment horizontal="center"/>
      <protection locked="0"/>
    </xf>
    <xf numFmtId="165" fontId="5" fillId="2" borderId="13" xfId="19" applyFill="1" applyBorder="1" applyAlignment="1" applyProtection="1">
      <alignment horizontal="left" vertical="top" wrapText="1"/>
      <protection locked="0"/>
    </xf>
    <xf numFmtId="165" fontId="5" fillId="2" borderId="19" xfId="19" applyFill="1" applyBorder="1" applyAlignment="1" applyProtection="1">
      <alignment horizontal="left" vertical="top" wrapText="1"/>
      <protection locked="0"/>
    </xf>
    <xf numFmtId="165" fontId="5" fillId="2" borderId="15" xfId="19" applyFill="1" applyBorder="1" applyAlignment="1" applyProtection="1">
      <alignment horizontal="left" vertical="top" wrapText="1"/>
      <protection locked="0"/>
    </xf>
    <xf numFmtId="165" fontId="5" fillId="5" borderId="13" xfId="19" applyFill="1" applyBorder="1" applyAlignment="1" applyProtection="1">
      <alignment vertical="center"/>
      <protection locked="0"/>
    </xf>
    <xf numFmtId="165" fontId="5" fillId="5" borderId="19" xfId="19" applyFill="1" applyBorder="1" applyAlignment="1" applyProtection="1">
      <alignment vertical="center"/>
      <protection locked="0"/>
    </xf>
    <xf numFmtId="165" fontId="5" fillId="5" borderId="15" xfId="19" applyFill="1" applyBorder="1" applyAlignment="1" applyProtection="1">
      <alignment vertical="center"/>
      <protection locked="0"/>
    </xf>
    <xf numFmtId="165" fontId="5" fillId="5" borderId="1" xfId="19" applyFill="1" applyBorder="1" applyAlignment="1" applyProtection="1">
      <alignment vertical="center" wrapText="1"/>
      <protection locked="0"/>
    </xf>
    <xf numFmtId="165" fontId="5" fillId="5" borderId="3" xfId="19" applyFill="1" applyBorder="1" applyAlignment="1" applyProtection="1">
      <alignment vertical="center" wrapText="1"/>
      <protection locked="0"/>
    </xf>
    <xf numFmtId="165" fontId="5" fillId="5" borderId="7" xfId="19" applyFill="1" applyBorder="1" applyAlignment="1" applyProtection="1">
      <alignment vertical="center" wrapText="1"/>
      <protection locked="0"/>
    </xf>
    <xf numFmtId="165" fontId="5" fillId="5" borderId="8" xfId="19" applyFill="1" applyBorder="1" applyAlignment="1" applyProtection="1">
      <alignment vertical="center" wrapText="1"/>
      <protection locked="0"/>
    </xf>
    <xf numFmtId="165" fontId="5" fillId="5" borderId="4" xfId="19" applyFill="1" applyBorder="1" applyAlignment="1" applyProtection="1">
      <alignment vertical="center" wrapText="1"/>
      <protection locked="0"/>
    </xf>
    <xf numFmtId="165" fontId="5" fillId="5" borderId="6" xfId="19" applyFill="1" applyBorder="1" applyAlignment="1" applyProtection="1">
      <alignment vertical="center" wrapText="1"/>
      <protection locked="0"/>
    </xf>
    <xf numFmtId="165" fontId="5" fillId="2" borderId="1" xfId="19" applyFill="1" applyBorder="1" applyAlignment="1" applyProtection="1">
      <alignment vertical="center" wrapText="1"/>
      <protection locked="0"/>
    </xf>
    <xf numFmtId="165" fontId="5" fillId="2" borderId="3" xfId="19" applyFill="1" applyBorder="1" applyAlignment="1" applyProtection="1">
      <alignment vertical="center" wrapText="1"/>
      <protection locked="0"/>
    </xf>
    <xf numFmtId="165" fontId="5" fillId="2" borderId="7" xfId="19" applyFill="1" applyBorder="1" applyAlignment="1" applyProtection="1">
      <alignment vertical="center" wrapText="1"/>
      <protection locked="0"/>
    </xf>
    <xf numFmtId="165" fontId="5" fillId="2" borderId="8" xfId="19" applyFill="1" applyBorder="1" applyAlignment="1" applyProtection="1">
      <alignment vertical="center" wrapText="1"/>
      <protection locked="0"/>
    </xf>
    <xf numFmtId="165" fontId="5" fillId="2" borderId="4" xfId="19" applyFill="1" applyBorder="1" applyAlignment="1" applyProtection="1">
      <alignment vertical="center" wrapText="1"/>
      <protection locked="0"/>
    </xf>
    <xf numFmtId="165" fontId="5" fillId="2" borderId="6" xfId="19" applyFill="1" applyBorder="1" applyAlignment="1" applyProtection="1">
      <alignment vertical="center" wrapText="1"/>
      <protection locked="0"/>
    </xf>
    <xf numFmtId="165" fontId="5" fillId="2" borderId="1" xfId="19" applyFill="1" applyBorder="1" applyAlignment="1" applyProtection="1">
      <alignment horizontal="center" vertical="center" wrapText="1"/>
      <protection locked="0"/>
    </xf>
    <xf numFmtId="165" fontId="5" fillId="2" borderId="3" xfId="19" applyFill="1" applyBorder="1" applyAlignment="1" applyProtection="1">
      <alignment horizontal="center" vertical="center" wrapText="1"/>
      <protection locked="0"/>
    </xf>
    <xf numFmtId="165" fontId="5" fillId="2" borderId="4" xfId="19" applyFill="1" applyBorder="1" applyAlignment="1" applyProtection="1">
      <alignment horizontal="center" vertical="center" wrapText="1"/>
      <protection locked="0"/>
    </xf>
    <xf numFmtId="165" fontId="5" fillId="2" borderId="6" xfId="19" applyFill="1" applyBorder="1" applyAlignment="1" applyProtection="1">
      <alignment horizontal="center" vertical="center" wrapText="1"/>
      <protection locked="0"/>
    </xf>
    <xf numFmtId="165" fontId="5" fillId="5" borderId="13" xfId="19" applyFill="1" applyBorder="1" applyAlignment="1" applyProtection="1">
      <alignment horizontal="center" vertical="center"/>
      <protection locked="0"/>
    </xf>
    <xf numFmtId="165" fontId="5" fillId="5" borderId="19" xfId="19" applyFill="1" applyBorder="1" applyAlignment="1" applyProtection="1">
      <alignment horizontal="center" vertical="center"/>
      <protection locked="0"/>
    </xf>
    <xf numFmtId="165" fontId="5" fillId="5" borderId="15" xfId="19" applyFill="1" applyBorder="1" applyAlignment="1" applyProtection="1">
      <alignment horizontal="center" vertical="center"/>
      <protection locked="0"/>
    </xf>
    <xf numFmtId="165" fontId="5" fillId="5" borderId="1" xfId="19" applyFill="1" applyBorder="1" applyAlignment="1" applyProtection="1">
      <alignment horizontal="left" vertical="center" wrapText="1"/>
      <protection locked="0"/>
    </xf>
    <xf numFmtId="165" fontId="5" fillId="5" borderId="3" xfId="19" applyFill="1" applyBorder="1" applyAlignment="1" applyProtection="1">
      <alignment horizontal="left" vertical="center" wrapText="1"/>
      <protection locked="0"/>
    </xf>
    <xf numFmtId="165" fontId="5" fillId="5" borderId="7" xfId="19" applyFill="1" applyBorder="1" applyAlignment="1" applyProtection="1">
      <alignment horizontal="left" vertical="center" wrapText="1"/>
      <protection locked="0"/>
    </xf>
    <xf numFmtId="165" fontId="5" fillId="5" borderId="8" xfId="19" applyFill="1" applyBorder="1" applyAlignment="1" applyProtection="1">
      <alignment horizontal="left" vertical="center" wrapText="1"/>
      <protection locked="0"/>
    </xf>
    <xf numFmtId="165" fontId="5" fillId="5" borderId="4" xfId="19" applyFill="1" applyBorder="1" applyAlignment="1" applyProtection="1">
      <alignment horizontal="left" vertical="center" wrapText="1"/>
      <protection locked="0"/>
    </xf>
    <xf numFmtId="165" fontId="5" fillId="5" borderId="6" xfId="19" applyFill="1" applyBorder="1" applyAlignment="1" applyProtection="1">
      <alignment horizontal="left" vertical="center" wrapText="1"/>
      <protection locked="0"/>
    </xf>
    <xf numFmtId="165" fontId="5" fillId="2" borderId="1" xfId="19" applyFill="1" applyBorder="1" applyAlignment="1" applyProtection="1">
      <alignment horizontal="left" vertical="center" wrapText="1"/>
      <protection locked="0"/>
    </xf>
    <xf numFmtId="165" fontId="5" fillId="2" borderId="3" xfId="19" applyFill="1" applyBorder="1" applyAlignment="1" applyProtection="1">
      <alignment horizontal="left" vertical="center" wrapText="1"/>
      <protection locked="0"/>
    </xf>
    <xf numFmtId="165" fontId="5" fillId="2" borderId="7" xfId="19" applyFill="1" applyBorder="1" applyAlignment="1" applyProtection="1">
      <alignment horizontal="left" vertical="center" wrapText="1"/>
      <protection locked="0"/>
    </xf>
    <xf numFmtId="165" fontId="5" fillId="2" borderId="8" xfId="19" applyFill="1" applyBorder="1" applyAlignment="1" applyProtection="1">
      <alignment horizontal="left" vertical="center" wrapText="1"/>
      <protection locked="0"/>
    </xf>
    <xf numFmtId="165" fontId="5" fillId="2" borderId="4" xfId="19" applyFill="1" applyBorder="1" applyAlignment="1" applyProtection="1">
      <alignment horizontal="left" vertical="center" wrapText="1"/>
      <protection locked="0"/>
    </xf>
    <xf numFmtId="165" fontId="5" fillId="2" borderId="6" xfId="19" applyFill="1" applyBorder="1" applyAlignment="1" applyProtection="1">
      <alignment horizontal="left" vertical="center" wrapText="1"/>
      <protection locked="0"/>
    </xf>
    <xf numFmtId="0" fontId="5" fillId="0" borderId="1" xfId="15" applyBorder="1" applyAlignment="1" applyProtection="1">
      <alignment horizontal="left" vertical="center" wrapText="1"/>
      <protection locked="0"/>
    </xf>
    <xf numFmtId="0" fontId="5" fillId="0" borderId="2" xfId="15" applyBorder="1" applyAlignment="1" applyProtection="1">
      <alignment horizontal="left" vertical="center" wrapText="1"/>
      <protection locked="0"/>
    </xf>
    <xf numFmtId="0" fontId="5" fillId="0" borderId="3" xfId="15" applyBorder="1" applyAlignment="1" applyProtection="1">
      <alignment horizontal="left" vertical="center" wrapText="1"/>
      <protection locked="0"/>
    </xf>
    <xf numFmtId="0" fontId="5" fillId="0" borderId="7" xfId="15" applyBorder="1" applyAlignment="1" applyProtection="1">
      <alignment horizontal="left" vertical="center" wrapText="1"/>
      <protection locked="0"/>
    </xf>
    <xf numFmtId="0" fontId="5" fillId="0" borderId="0" xfId="15" applyAlignment="1" applyProtection="1">
      <alignment horizontal="left" vertical="center" wrapText="1"/>
      <protection locked="0"/>
    </xf>
    <xf numFmtId="0" fontId="5" fillId="0" borderId="8" xfId="15" applyBorder="1" applyAlignment="1" applyProtection="1">
      <alignment horizontal="left" vertical="center" wrapText="1"/>
      <protection locked="0"/>
    </xf>
    <xf numFmtId="0" fontId="5" fillId="0" borderId="4" xfId="15" applyBorder="1" applyAlignment="1" applyProtection="1">
      <alignment horizontal="left" vertical="center" wrapText="1"/>
      <protection locked="0"/>
    </xf>
    <xf numFmtId="0" fontId="5" fillId="0" borderId="5" xfId="15" applyBorder="1" applyAlignment="1" applyProtection="1">
      <alignment horizontal="left" vertical="center" wrapText="1"/>
      <protection locked="0"/>
    </xf>
    <xf numFmtId="0" fontId="5" fillId="0" borderId="6" xfId="15" applyBorder="1" applyAlignment="1" applyProtection="1">
      <alignment horizontal="left" vertical="center" wrapText="1"/>
      <protection locked="0"/>
    </xf>
    <xf numFmtId="14" fontId="5" fillId="0" borderId="12" xfId="17" applyNumberFormat="1" applyBorder="1" applyAlignment="1" applyProtection="1">
      <alignment horizontal="center" vertical="top" wrapText="1"/>
      <protection locked="0"/>
    </xf>
    <xf numFmtId="14" fontId="5" fillId="0" borderId="10" xfId="17" applyNumberFormat="1" applyBorder="1" applyAlignment="1" applyProtection="1">
      <alignment horizontal="center" vertical="top" wrapText="1"/>
      <protection locked="0"/>
    </xf>
    <xf numFmtId="0" fontId="5" fillId="0" borderId="13" xfId="15" applyBorder="1" applyAlignment="1" applyProtection="1">
      <alignment horizontal="center" vertical="center"/>
      <protection locked="0"/>
    </xf>
    <xf numFmtId="0" fontId="5" fillId="0" borderId="19" xfId="15" applyBorder="1" applyAlignment="1" applyProtection="1">
      <alignment horizontal="center" vertical="center"/>
      <protection locked="0"/>
    </xf>
    <xf numFmtId="14" fontId="5" fillId="0" borderId="13" xfId="15" applyNumberFormat="1" applyBorder="1" applyAlignment="1" applyProtection="1">
      <alignment horizontal="center" vertical="center" wrapText="1"/>
      <protection locked="0"/>
    </xf>
    <xf numFmtId="14" fontId="5" fillId="0" borderId="19" xfId="15" applyNumberFormat="1" applyBorder="1" applyAlignment="1" applyProtection="1">
      <alignment horizontal="center" vertical="center" wrapText="1"/>
      <protection locked="0"/>
    </xf>
    <xf numFmtId="14" fontId="7" fillId="0" borderId="13" xfId="13" quotePrefix="1" applyNumberFormat="1" applyFont="1" applyBorder="1" applyAlignment="1">
      <alignment horizontal="center" vertical="center" wrapText="1"/>
    </xf>
    <xf numFmtId="14" fontId="7" fillId="0" borderId="19" xfId="13" quotePrefix="1" applyNumberFormat="1" applyFont="1" applyBorder="1" applyAlignment="1">
      <alignment horizontal="center" vertical="center" wrapText="1"/>
    </xf>
    <xf numFmtId="14" fontId="7" fillId="0" borderId="19" xfId="13" applyNumberFormat="1" applyFont="1" applyBorder="1" applyAlignment="1">
      <alignment horizontal="center" vertical="center" wrapText="1"/>
    </xf>
    <xf numFmtId="0" fontId="7" fillId="0" borderId="19" xfId="13" applyFont="1" applyBorder="1" applyAlignment="1">
      <alignment horizontal="center" vertical="center" wrapText="1"/>
    </xf>
    <xf numFmtId="8" fontId="5" fillId="0" borderId="13" xfId="15" applyNumberFormat="1" applyBorder="1" applyAlignment="1" applyProtection="1">
      <alignment horizontal="center" vertical="center"/>
      <protection locked="0"/>
    </xf>
    <xf numFmtId="8" fontId="5" fillId="0" borderId="19" xfId="15" applyNumberFormat="1" applyBorder="1" applyAlignment="1" applyProtection="1">
      <alignment horizontal="center" vertical="center"/>
      <protection locked="0"/>
    </xf>
    <xf numFmtId="0" fontId="5" fillId="0" borderId="13" xfId="15" applyBorder="1" applyAlignment="1" applyProtection="1">
      <alignment horizontal="center" vertical="center" wrapText="1"/>
      <protection locked="0"/>
    </xf>
    <xf numFmtId="0" fontId="5" fillId="0" borderId="19" xfId="15" applyBorder="1" applyAlignment="1" applyProtection="1">
      <alignment horizontal="center" vertical="center" wrapText="1"/>
      <protection locked="0"/>
    </xf>
    <xf numFmtId="0" fontId="42" fillId="0" borderId="13" xfId="15" applyFont="1" applyBorder="1" applyAlignment="1" applyProtection="1">
      <alignment horizontal="center" vertical="center"/>
      <protection locked="0"/>
    </xf>
    <xf numFmtId="0" fontId="42" fillId="0" borderId="19" xfId="15" applyFont="1" applyBorder="1" applyAlignment="1" applyProtection="1">
      <alignment horizontal="center" vertical="center"/>
      <protection locked="0"/>
    </xf>
    <xf numFmtId="0" fontId="5" fillId="2" borderId="20" xfId="15" applyFill="1" applyBorder="1" applyAlignment="1" applyProtection="1">
      <alignment horizontal="center" vertical="center"/>
      <protection locked="0"/>
    </xf>
    <xf numFmtId="14" fontId="5" fillId="0" borderId="20" xfId="15" applyNumberFormat="1" applyBorder="1" applyAlignment="1" applyProtection="1">
      <alignment horizontal="center" vertical="center" wrapText="1"/>
      <protection locked="0"/>
    </xf>
    <xf numFmtId="14" fontId="7" fillId="0" borderId="20" xfId="13" applyNumberFormat="1" applyFont="1" applyBorder="1" applyAlignment="1">
      <alignment horizontal="center" vertical="center" wrapText="1"/>
    </xf>
    <xf numFmtId="0" fontId="7" fillId="0" borderId="20" xfId="13" applyFont="1" applyBorder="1" applyAlignment="1">
      <alignment horizontal="center" vertical="center" wrapText="1"/>
    </xf>
    <xf numFmtId="8" fontId="5" fillId="0" borderId="20" xfId="15" applyNumberFormat="1" applyBorder="1" applyAlignment="1" applyProtection="1">
      <alignment horizontal="center" vertical="center"/>
      <protection locked="0"/>
    </xf>
    <xf numFmtId="0" fontId="5" fillId="0" borderId="20" xfId="15" applyBorder="1" applyAlignment="1" applyProtection="1">
      <alignment horizontal="center" vertical="center" wrapText="1"/>
      <protection locked="0"/>
    </xf>
    <xf numFmtId="0" fontId="5" fillId="0" borderId="20" xfId="15" applyBorder="1" applyAlignment="1" applyProtection="1">
      <alignment horizontal="center" vertical="center"/>
      <protection locked="0"/>
    </xf>
    <xf numFmtId="0" fontId="15" fillId="2" borderId="20" xfId="15" applyFont="1" applyFill="1" applyBorder="1" applyAlignment="1" applyProtection="1">
      <alignment horizontal="center" vertical="center"/>
      <protection locked="0"/>
    </xf>
    <xf numFmtId="0" fontId="15" fillId="0" borderId="20" xfId="15" applyFont="1" applyBorder="1" applyAlignment="1" applyProtection="1">
      <alignment horizontal="center" vertical="center"/>
      <protection locked="0"/>
    </xf>
    <xf numFmtId="0" fontId="42" fillId="0" borderId="20" xfId="15" applyFont="1" applyBorder="1" applyAlignment="1" applyProtection="1">
      <alignment horizontal="center" vertical="center"/>
      <protection locked="0"/>
    </xf>
    <xf numFmtId="0" fontId="5" fillId="0" borderId="15" xfId="15" applyBorder="1" applyAlignment="1" applyProtection="1">
      <alignment horizontal="center" vertical="center"/>
      <protection locked="0"/>
    </xf>
    <xf numFmtId="0" fontId="14" fillId="2" borderId="20" xfId="15" applyFont="1" applyFill="1" applyBorder="1" applyAlignment="1" applyProtection="1">
      <alignment horizontal="center" vertical="center"/>
      <protection locked="0"/>
    </xf>
    <xf numFmtId="0" fontId="5" fillId="0" borderId="21" xfId="15" applyBorder="1" applyAlignment="1" applyProtection="1">
      <alignment horizontal="center" vertical="center" wrapText="1"/>
      <protection locked="0"/>
    </xf>
    <xf numFmtId="0" fontId="5" fillId="0" borderId="22" xfId="15" applyBorder="1" applyAlignment="1" applyProtection="1">
      <alignment horizontal="center" vertical="center" wrapText="1"/>
      <protection locked="0"/>
    </xf>
    <xf numFmtId="0" fontId="5" fillId="0" borderId="23" xfId="15" applyBorder="1" applyAlignment="1" applyProtection="1">
      <alignment horizontal="center" vertical="center" wrapText="1"/>
      <protection locked="0"/>
    </xf>
    <xf numFmtId="0" fontId="5" fillId="2" borderId="21" xfId="15" applyFill="1" applyBorder="1" applyAlignment="1" applyProtection="1">
      <alignment horizontal="center" vertical="center"/>
      <protection locked="0"/>
    </xf>
    <xf numFmtId="14" fontId="5" fillId="0" borderId="21" xfId="15" applyNumberFormat="1" applyBorder="1" applyAlignment="1" applyProtection="1">
      <alignment horizontal="center" vertical="center" wrapText="1"/>
      <protection locked="0"/>
    </xf>
    <xf numFmtId="0" fontId="7" fillId="0" borderId="21" xfId="13" applyFont="1" applyBorder="1" applyAlignment="1">
      <alignment horizontal="center" vertical="center" wrapText="1"/>
    </xf>
    <xf numFmtId="8" fontId="5" fillId="0" borderId="21" xfId="15" applyNumberFormat="1" applyBorder="1" applyAlignment="1" applyProtection="1">
      <alignment horizontal="center" vertical="center"/>
      <protection locked="0"/>
    </xf>
    <xf numFmtId="0" fontId="5" fillId="0" borderId="21" xfId="15" applyBorder="1" applyAlignment="1" applyProtection="1">
      <alignment horizontal="center" vertical="center"/>
      <protection locked="0"/>
    </xf>
    <xf numFmtId="0" fontId="15" fillId="2" borderId="21" xfId="15" applyFont="1" applyFill="1" applyBorder="1" applyAlignment="1" applyProtection="1">
      <alignment horizontal="center" vertical="center"/>
      <protection locked="0"/>
    </xf>
    <xf numFmtId="0" fontId="5" fillId="2" borderId="23" xfId="15" applyFill="1" applyBorder="1" applyAlignment="1" applyProtection="1">
      <alignment horizontal="center" vertical="center"/>
      <protection locked="0"/>
    </xf>
    <xf numFmtId="14" fontId="5" fillId="0" borderId="23" xfId="15" applyNumberFormat="1" applyBorder="1" applyAlignment="1" applyProtection="1">
      <alignment horizontal="center" vertical="center" wrapText="1"/>
      <protection locked="0"/>
    </xf>
    <xf numFmtId="14" fontId="7" fillId="0" borderId="23" xfId="13" applyNumberFormat="1" applyFont="1" applyBorder="1" applyAlignment="1">
      <alignment horizontal="center" vertical="center" wrapText="1"/>
    </xf>
    <xf numFmtId="8" fontId="5" fillId="0" borderId="23" xfId="15" applyNumberFormat="1" applyBorder="1" applyAlignment="1" applyProtection="1">
      <alignment horizontal="center" vertical="center"/>
      <protection locked="0"/>
    </xf>
    <xf numFmtId="0" fontId="5" fillId="0" borderId="23" xfId="15" applyBorder="1" applyAlignment="1" applyProtection="1">
      <alignment horizontal="center" vertical="center"/>
      <protection locked="0"/>
    </xf>
    <xf numFmtId="0" fontId="15" fillId="2" borderId="23" xfId="15" applyFont="1" applyFill="1" applyBorder="1" applyAlignment="1" applyProtection="1">
      <alignment horizontal="center" vertical="center"/>
      <protection locked="0"/>
    </xf>
    <xf numFmtId="0" fontId="5" fillId="0" borderId="15" xfId="15" applyBorder="1" applyAlignment="1" applyProtection="1">
      <alignment horizontal="center" vertical="center" wrapText="1"/>
      <protection locked="0"/>
    </xf>
    <xf numFmtId="14" fontId="5" fillId="0" borderId="11" xfId="15" applyNumberFormat="1" applyBorder="1" applyAlignment="1" applyProtection="1">
      <alignment horizontal="center" vertical="center"/>
      <protection locked="0"/>
    </xf>
    <xf numFmtId="168" fontId="5" fillId="0" borderId="11" xfId="15" applyNumberFormat="1" applyBorder="1" applyAlignment="1" applyProtection="1">
      <alignment horizontal="center" vertical="center"/>
      <protection locked="0"/>
    </xf>
    <xf numFmtId="164" fontId="5" fillId="2" borderId="12" xfId="17" applyNumberFormat="1" applyFill="1" applyBorder="1" applyAlignment="1" applyProtection="1">
      <alignment horizontal="center" vertical="top"/>
      <protection locked="0"/>
    </xf>
    <xf numFmtId="164" fontId="5" fillId="2" borderId="10" xfId="17" applyNumberFormat="1" applyFill="1" applyBorder="1" applyAlignment="1" applyProtection="1">
      <alignment horizontal="center" vertical="top"/>
      <protection locked="0"/>
    </xf>
    <xf numFmtId="0" fontId="5" fillId="2" borderId="11" xfId="15" applyFill="1" applyBorder="1" applyAlignment="1" applyProtection="1">
      <alignment horizontal="center" vertical="center" wrapText="1"/>
      <protection locked="0"/>
    </xf>
    <xf numFmtId="14" fontId="5" fillId="0" borderId="13" xfId="15" applyNumberFormat="1" applyBorder="1" applyAlignment="1" applyProtection="1">
      <alignment horizontal="center" vertical="center"/>
      <protection locked="0"/>
    </xf>
    <xf numFmtId="14" fontId="5" fillId="0" borderId="19" xfId="15" applyNumberFormat="1" applyBorder="1" applyAlignment="1" applyProtection="1">
      <alignment horizontal="center" vertical="center"/>
      <protection locked="0"/>
    </xf>
    <xf numFmtId="14" fontId="5" fillId="0" borderId="15" xfId="15" applyNumberFormat="1" applyBorder="1" applyAlignment="1" applyProtection="1">
      <alignment horizontal="center" vertical="center"/>
      <protection locked="0"/>
    </xf>
    <xf numFmtId="6" fontId="5" fillId="2" borderId="11" xfId="15" applyNumberFormat="1" applyFill="1" applyBorder="1" applyAlignment="1" applyProtection="1">
      <alignment horizontal="center" vertical="center"/>
      <protection locked="0"/>
    </xf>
    <xf numFmtId="0" fontId="15" fillId="2" borderId="3" xfId="15" applyFont="1" applyFill="1" applyBorder="1" applyAlignment="1" applyProtection="1">
      <alignment horizontal="center" vertical="center"/>
      <protection locked="0"/>
    </xf>
    <xf numFmtId="0" fontId="15" fillId="2" borderId="8" xfId="15" applyFont="1" applyFill="1" applyBorder="1" applyAlignment="1" applyProtection="1">
      <alignment horizontal="center" vertical="center"/>
      <protection locked="0"/>
    </xf>
    <xf numFmtId="0" fontId="15" fillId="2" borderId="4" xfId="15" applyFont="1" applyFill="1" applyBorder="1" applyAlignment="1" applyProtection="1">
      <alignment horizontal="center" vertical="center"/>
      <protection locked="0"/>
    </xf>
    <xf numFmtId="0" fontId="15" fillId="2" borderId="6" xfId="15" applyFont="1" applyFill="1" applyBorder="1" applyAlignment="1" applyProtection="1">
      <alignment horizontal="center" vertical="center"/>
      <protection locked="0"/>
    </xf>
    <xf numFmtId="0" fontId="6" fillId="2" borderId="1" xfId="15" applyFont="1" applyFill="1" applyBorder="1" applyAlignment="1" applyProtection="1">
      <alignment horizontal="center" vertical="center"/>
      <protection locked="0"/>
    </xf>
    <xf numFmtId="0" fontId="6" fillId="2" borderId="3" xfId="15" applyFont="1" applyFill="1" applyBorder="1" applyAlignment="1" applyProtection="1">
      <alignment horizontal="center" vertical="center"/>
      <protection locked="0"/>
    </xf>
    <xf numFmtId="0" fontId="6" fillId="2" borderId="4" xfId="15" applyFont="1" applyFill="1" applyBorder="1" applyAlignment="1" applyProtection="1">
      <alignment horizontal="center" vertical="center"/>
      <protection locked="0"/>
    </xf>
    <xf numFmtId="0" fontId="6" fillId="2" borderId="6" xfId="15" applyFont="1" applyFill="1" applyBorder="1" applyAlignment="1" applyProtection="1">
      <alignment horizontal="center" vertical="center"/>
      <protection locked="0"/>
    </xf>
    <xf numFmtId="0" fontId="6" fillId="3" borderId="9" xfId="15" applyFont="1" applyFill="1" applyBorder="1" applyAlignment="1" applyProtection="1">
      <alignment horizontal="left" vertical="center" wrapText="1"/>
      <protection locked="0"/>
    </xf>
    <xf numFmtId="1" fontId="5" fillId="0" borderId="12" xfId="15" quotePrefix="1" applyNumberFormat="1" applyBorder="1" applyAlignment="1" applyProtection="1">
      <alignment horizontal="left" vertical="center" wrapText="1"/>
      <protection locked="0"/>
    </xf>
    <xf numFmtId="1" fontId="5" fillId="0" borderId="9" xfId="15" quotePrefix="1" applyNumberFormat="1" applyBorder="1" applyAlignment="1" applyProtection="1">
      <alignment horizontal="left" vertical="center" wrapText="1"/>
      <protection locked="0"/>
    </xf>
    <xf numFmtId="1" fontId="5" fillId="0" borderId="10" xfId="15" quotePrefix="1" applyNumberFormat="1" applyBorder="1" applyAlignment="1" applyProtection="1">
      <alignment horizontal="left" vertical="center" wrapText="1"/>
      <protection locked="0"/>
    </xf>
    <xf numFmtId="166" fontId="5" fillId="2" borderId="11" xfId="15" applyNumberFormat="1" applyFill="1" applyBorder="1" applyAlignment="1" applyProtection="1">
      <alignment horizontal="left" vertical="center" wrapText="1"/>
      <protection locked="0"/>
    </xf>
    <xf numFmtId="0" fontId="6" fillId="3" borderId="2" xfId="15" applyFont="1" applyFill="1" applyBorder="1" applyAlignment="1" applyProtection="1">
      <alignment horizontal="left" vertical="center" wrapText="1"/>
      <protection locked="0"/>
    </xf>
    <xf numFmtId="0" fontId="6" fillId="3" borderId="5" xfId="15" applyFont="1" applyFill="1" applyBorder="1" applyAlignment="1" applyProtection="1">
      <alignment horizontal="left" vertical="center" wrapText="1"/>
      <protection locked="0"/>
    </xf>
    <xf numFmtId="0" fontId="5" fillId="0" borderId="10" xfId="17" applyBorder="1" applyAlignment="1" applyProtection="1">
      <alignment horizontal="center" vertical="top" wrapText="1"/>
      <protection locked="0"/>
    </xf>
    <xf numFmtId="0" fontId="6" fillId="3" borderId="9" xfId="17" applyFont="1" applyFill="1" applyBorder="1" applyAlignment="1" applyProtection="1">
      <alignment horizontal="left" vertical="center" wrapText="1"/>
      <protection locked="0"/>
    </xf>
    <xf numFmtId="14" fontId="5" fillId="0" borderId="12" xfId="17" applyNumberFormat="1" applyBorder="1" applyAlignment="1" applyProtection="1">
      <alignment horizontal="center" vertical="center"/>
      <protection locked="0"/>
    </xf>
    <xf numFmtId="14" fontId="5" fillId="0" borderId="10" xfId="17" applyNumberFormat="1" applyBorder="1" applyAlignment="1" applyProtection="1">
      <alignment horizontal="center" vertical="center"/>
      <protection locked="0"/>
    </xf>
    <xf numFmtId="0" fontId="6" fillId="0" borderId="3" xfId="17" applyFont="1" applyBorder="1" applyAlignment="1" applyProtection="1">
      <alignment horizontal="left" vertical="top" wrapText="1"/>
      <protection locked="0"/>
    </xf>
    <xf numFmtId="0" fontId="6" fillId="0" borderId="7" xfId="17" applyFont="1" applyBorder="1" applyAlignment="1" applyProtection="1">
      <alignment horizontal="left" vertical="top" wrapText="1"/>
      <protection locked="0"/>
    </xf>
    <xf numFmtId="0" fontId="6" fillId="0" borderId="8" xfId="17" applyFont="1" applyBorder="1" applyAlignment="1" applyProtection="1">
      <alignment horizontal="left" vertical="top" wrapText="1"/>
      <protection locked="0"/>
    </xf>
    <xf numFmtId="0" fontId="6" fillId="0" borderId="4" xfId="17" applyFont="1" applyBorder="1" applyAlignment="1" applyProtection="1">
      <alignment horizontal="left" vertical="top" wrapText="1"/>
      <protection locked="0"/>
    </xf>
    <xf numFmtId="0" fontId="6" fillId="0" borderId="6" xfId="17" applyFont="1" applyBorder="1" applyAlignment="1" applyProtection="1">
      <alignment horizontal="left" vertical="top" wrapText="1"/>
      <protection locked="0"/>
    </xf>
    <xf numFmtId="0" fontId="6" fillId="0" borderId="1" xfId="17" applyFont="1" applyBorder="1" applyAlignment="1" applyProtection="1">
      <alignment horizontal="left" vertical="top" wrapText="1"/>
      <protection locked="0"/>
    </xf>
    <xf numFmtId="0" fontId="6" fillId="0" borderId="1" xfId="17" applyFont="1" applyBorder="1" applyAlignment="1" applyProtection="1">
      <alignment vertical="top" wrapText="1"/>
      <protection locked="0"/>
    </xf>
    <xf numFmtId="0" fontId="6" fillId="0" borderId="3" xfId="17" applyFont="1" applyBorder="1" applyAlignment="1" applyProtection="1">
      <alignment vertical="top" wrapText="1"/>
      <protection locked="0"/>
    </xf>
    <xf numFmtId="0" fontId="6" fillId="0" borderId="7" xfId="17" applyFont="1" applyBorder="1" applyAlignment="1" applyProtection="1">
      <alignment vertical="top" wrapText="1"/>
      <protection locked="0"/>
    </xf>
    <xf numFmtId="0" fontId="6" fillId="0" borderId="8" xfId="17" applyFont="1" applyBorder="1" applyAlignment="1" applyProtection="1">
      <alignment vertical="top" wrapText="1"/>
      <protection locked="0"/>
    </xf>
    <xf numFmtId="0" fontId="6" fillId="0" borderId="4" xfId="17" applyFont="1" applyBorder="1" applyAlignment="1" applyProtection="1">
      <alignment vertical="top" wrapText="1"/>
      <protection locked="0"/>
    </xf>
    <xf numFmtId="0" fontId="6" fillId="0" borderId="6" xfId="17" applyFont="1" applyBorder="1" applyAlignment="1" applyProtection="1">
      <alignment vertical="top" wrapText="1"/>
      <protection locked="0"/>
    </xf>
    <xf numFmtId="164" fontId="5" fillId="0" borderId="12" xfId="17" applyNumberFormat="1" applyBorder="1" applyAlignment="1" applyProtection="1">
      <alignment horizontal="center" vertical="center" wrapText="1"/>
      <protection locked="0"/>
    </xf>
    <xf numFmtId="164" fontId="5" fillId="0" borderId="10" xfId="17" applyNumberFormat="1" applyBorder="1" applyAlignment="1" applyProtection="1">
      <alignment horizontal="center" vertical="center" wrapText="1"/>
      <protection locked="0"/>
    </xf>
    <xf numFmtId="164" fontId="6" fillId="3" borderId="13" xfId="18" applyFont="1" applyFill="1" applyBorder="1" applyAlignment="1">
      <alignment horizontal="center" wrapText="1"/>
    </xf>
    <xf numFmtId="164" fontId="6" fillId="3" borderId="19" xfId="18" applyFont="1" applyFill="1" applyBorder="1" applyAlignment="1">
      <alignment horizontal="center" wrapText="1"/>
    </xf>
    <xf numFmtId="164" fontId="6" fillId="3" borderId="15" xfId="18" applyFont="1" applyFill="1" applyBorder="1" applyAlignment="1">
      <alignment horizontal="center" wrapText="1"/>
    </xf>
    <xf numFmtId="17" fontId="5" fillId="0" borderId="13" xfId="15" applyNumberFormat="1" applyBorder="1" applyAlignment="1" applyProtection="1">
      <alignment horizontal="center" vertical="center" wrapText="1"/>
      <protection locked="0"/>
    </xf>
    <xf numFmtId="44" fontId="5" fillId="0" borderId="13" xfId="1" applyFont="1" applyBorder="1" applyAlignment="1" applyProtection="1">
      <alignment horizontal="center" vertical="center"/>
      <protection locked="0"/>
    </xf>
    <xf numFmtId="44" fontId="5" fillId="0" borderId="19" xfId="1" applyFont="1" applyBorder="1" applyAlignment="1" applyProtection="1">
      <alignment horizontal="center" vertical="center"/>
      <protection locked="0"/>
    </xf>
    <xf numFmtId="44" fontId="5" fillId="0" borderId="15" xfId="1" applyFont="1" applyBorder="1" applyAlignment="1" applyProtection="1">
      <alignment horizontal="center" vertical="center"/>
      <protection locked="0"/>
    </xf>
    <xf numFmtId="0" fontId="42" fillId="0" borderId="15" xfId="15" applyFont="1" applyBorder="1" applyAlignment="1" applyProtection="1">
      <alignment horizontal="center" vertical="center"/>
      <protection locked="0"/>
    </xf>
    <xf numFmtId="0" fontId="15" fillId="0" borderId="13" xfId="15" applyFont="1" applyBorder="1" applyAlignment="1" applyProtection="1">
      <alignment horizontal="center" vertical="center"/>
      <protection locked="0"/>
    </xf>
    <xf numFmtId="0" fontId="15" fillId="0" borderId="19" xfId="15" applyFont="1" applyBorder="1" applyAlignment="1" applyProtection="1">
      <alignment horizontal="center" vertical="center"/>
      <protection locked="0"/>
    </xf>
    <xf numFmtId="0" fontId="15" fillId="0" borderId="15" xfId="15" applyFont="1" applyBorder="1" applyAlignment="1" applyProtection="1">
      <alignment horizontal="center" vertical="center"/>
      <protection locked="0"/>
    </xf>
    <xf numFmtId="17" fontId="5" fillId="2" borderId="13" xfId="15" applyNumberFormat="1" applyFill="1" applyBorder="1" applyAlignment="1" applyProtection="1">
      <alignment horizontal="center" vertical="center" wrapText="1"/>
      <protection locked="0"/>
    </xf>
    <xf numFmtId="0" fontId="5" fillId="2" borderId="19" xfId="15" applyFill="1" applyBorder="1" applyAlignment="1" applyProtection="1">
      <alignment horizontal="center" vertical="center" wrapText="1"/>
      <protection locked="0"/>
    </xf>
    <xf numFmtId="0" fontId="5" fillId="2" borderId="15" xfId="15" applyFill="1" applyBorder="1" applyAlignment="1" applyProtection="1">
      <alignment horizontal="center" vertical="center" wrapText="1"/>
      <protection locked="0"/>
    </xf>
    <xf numFmtId="0" fontId="6" fillId="5" borderId="11" xfId="15" applyFont="1" applyFill="1" applyBorder="1" applyProtection="1">
      <protection locked="0"/>
    </xf>
    <xf numFmtId="44" fontId="5" fillId="2" borderId="13" xfId="1" applyFont="1" applyFill="1" applyBorder="1" applyAlignment="1" applyProtection="1">
      <alignment horizontal="center" vertical="center"/>
      <protection locked="0"/>
    </xf>
    <xf numFmtId="44" fontId="5" fillId="2" borderId="19" xfId="1" applyFont="1" applyFill="1" applyBorder="1" applyAlignment="1" applyProtection="1">
      <alignment horizontal="center" vertical="center"/>
      <protection locked="0"/>
    </xf>
    <xf numFmtId="44" fontId="5" fillId="2" borderId="15" xfId="1" applyFont="1" applyFill="1" applyBorder="1" applyAlignment="1" applyProtection="1">
      <alignment horizontal="center" vertical="center"/>
      <protection locked="0"/>
    </xf>
    <xf numFmtId="164" fontId="5" fillId="2" borderId="12" xfId="17" applyNumberFormat="1" applyFill="1" applyBorder="1" applyAlignment="1" applyProtection="1">
      <alignment horizontal="center" vertical="top" wrapText="1"/>
      <protection locked="0"/>
    </xf>
    <xf numFmtId="164" fontId="5" fillId="2" borderId="9" xfId="17" applyNumberFormat="1" applyFill="1" applyBorder="1" applyAlignment="1" applyProtection="1">
      <alignment horizontal="center" vertical="top" wrapText="1"/>
      <protection locked="0"/>
    </xf>
    <xf numFmtId="164" fontId="5" fillId="2" borderId="10" xfId="17" applyNumberFormat="1" applyFill="1" applyBorder="1" applyAlignment="1" applyProtection="1">
      <alignment horizontal="center" vertical="top" wrapText="1"/>
      <protection locked="0"/>
    </xf>
    <xf numFmtId="0" fontId="6" fillId="0" borderId="11" xfId="15" applyFont="1" applyBorder="1" applyAlignment="1" applyProtection="1">
      <alignment horizontal="center"/>
      <protection locked="0"/>
    </xf>
    <xf numFmtId="0" fontId="13" fillId="3" borderId="12" xfId="13" applyFont="1" applyFill="1" applyBorder="1" applyAlignment="1">
      <alignment horizontal="center"/>
    </xf>
    <xf numFmtId="0" fontId="13" fillId="3" borderId="10" xfId="13" applyFont="1" applyFill="1" applyBorder="1" applyAlignment="1">
      <alignment horizontal="center"/>
    </xf>
    <xf numFmtId="0" fontId="42" fillId="2" borderId="11" xfId="15" applyFont="1" applyFill="1" applyBorder="1" applyAlignment="1" applyProtection="1">
      <alignment horizontal="center" vertical="center"/>
      <protection locked="0"/>
    </xf>
    <xf numFmtId="0" fontId="5" fillId="2" borderId="11" xfId="15" applyFill="1" applyBorder="1" applyAlignment="1" applyProtection="1">
      <alignment vertical="center" wrapText="1"/>
      <protection locked="0"/>
    </xf>
    <xf numFmtId="0" fontId="15" fillId="2" borderId="11" xfId="15" applyFont="1" applyFill="1" applyBorder="1" applyAlignment="1" applyProtection="1">
      <alignment horizontal="center" vertical="center"/>
      <protection locked="0"/>
    </xf>
    <xf numFmtId="0" fontId="7" fillId="2" borderId="1" xfId="13" applyFont="1" applyFill="1" applyBorder="1" applyAlignment="1">
      <alignment horizontal="left" vertical="center" wrapText="1"/>
    </xf>
    <xf numFmtId="0" fontId="7" fillId="2" borderId="2" xfId="13" applyFont="1" applyFill="1" applyBorder="1" applyAlignment="1">
      <alignment horizontal="left" vertical="center" wrapText="1"/>
    </xf>
    <xf numFmtId="0" fontId="7" fillId="2" borderId="3" xfId="13" applyFont="1" applyFill="1" applyBorder="1" applyAlignment="1">
      <alignment horizontal="left" vertical="center" wrapText="1"/>
    </xf>
    <xf numFmtId="0" fontId="7" fillId="2" borderId="4" xfId="13" applyFont="1" applyFill="1" applyBorder="1" applyAlignment="1">
      <alignment horizontal="left" vertical="center" wrapText="1"/>
    </xf>
    <xf numFmtId="0" fontId="7" fillId="2" borderId="5" xfId="13" applyFont="1" applyFill="1" applyBorder="1" applyAlignment="1">
      <alignment horizontal="left" vertical="center" wrapText="1"/>
    </xf>
    <xf numFmtId="0" fontId="7" fillId="2" borderId="6" xfId="13" applyFont="1" applyFill="1" applyBorder="1" applyAlignment="1">
      <alignment horizontal="left" vertical="center" wrapText="1"/>
    </xf>
    <xf numFmtId="0" fontId="6" fillId="3" borderId="9" xfId="15" applyFont="1" applyFill="1" applyBorder="1" applyAlignment="1" applyProtection="1">
      <alignment horizontal="left"/>
      <protection locked="0"/>
    </xf>
    <xf numFmtId="0" fontId="6" fillId="2" borderId="11" xfId="15" applyFont="1" applyFill="1" applyBorder="1" applyAlignment="1" applyProtection="1">
      <alignment horizontal="center" vertical="center"/>
      <protection locked="0"/>
    </xf>
    <xf numFmtId="165" fontId="5" fillId="4" borderId="1" xfId="19" applyFill="1" applyBorder="1" applyAlignment="1" applyProtection="1">
      <alignment vertical="center" wrapText="1"/>
      <protection locked="0"/>
    </xf>
    <xf numFmtId="165" fontId="5" fillId="4" borderId="2" xfId="19" applyFill="1" applyBorder="1" applyAlignment="1" applyProtection="1">
      <alignment vertical="center" wrapText="1"/>
      <protection locked="0"/>
    </xf>
    <xf numFmtId="165" fontId="5" fillId="4" borderId="3" xfId="19" applyFill="1" applyBorder="1" applyAlignment="1" applyProtection="1">
      <alignment vertical="center" wrapText="1"/>
      <protection locked="0"/>
    </xf>
    <xf numFmtId="165" fontId="5" fillId="4" borderId="7" xfId="19" applyFill="1" applyBorder="1" applyAlignment="1" applyProtection="1">
      <alignment vertical="center" wrapText="1"/>
      <protection locked="0"/>
    </xf>
    <xf numFmtId="165" fontId="5" fillId="4" borderId="0" xfId="19" applyFill="1" applyAlignment="1" applyProtection="1">
      <alignment vertical="center" wrapText="1"/>
      <protection locked="0"/>
    </xf>
    <xf numFmtId="165" fontId="5" fillId="4" borderId="8" xfId="19" applyFill="1" applyBorder="1" applyAlignment="1" applyProtection="1">
      <alignment vertical="center" wrapText="1"/>
      <protection locked="0"/>
    </xf>
    <xf numFmtId="165" fontId="5" fillId="4" borderId="4" xfId="19" applyFill="1" applyBorder="1" applyAlignment="1" applyProtection="1">
      <alignment vertical="center" wrapText="1"/>
      <protection locked="0"/>
    </xf>
    <xf numFmtId="165" fontId="5" fillId="4" borderId="5" xfId="19" applyFill="1" applyBorder="1" applyAlignment="1" applyProtection="1">
      <alignment vertical="center" wrapText="1"/>
      <protection locked="0"/>
    </xf>
    <xf numFmtId="165" fontId="5" fillId="4" borderId="6" xfId="19" applyFill="1" applyBorder="1" applyAlignment="1" applyProtection="1">
      <alignment vertical="center" wrapText="1"/>
      <protection locked="0"/>
    </xf>
    <xf numFmtId="165" fontId="5" fillId="4" borderId="1" xfId="19" applyFill="1" applyBorder="1" applyAlignment="1" applyProtection="1">
      <alignment horizontal="center" vertical="center" wrapText="1"/>
      <protection locked="0"/>
    </xf>
    <xf numFmtId="165" fontId="5" fillId="4" borderId="2" xfId="19" applyFill="1" applyBorder="1" applyAlignment="1" applyProtection="1">
      <alignment horizontal="center" vertical="center" wrapText="1"/>
      <protection locked="0"/>
    </xf>
    <xf numFmtId="165" fontId="5" fillId="4" borderId="3" xfId="19" applyFill="1" applyBorder="1" applyAlignment="1" applyProtection="1">
      <alignment horizontal="center" vertical="center" wrapText="1"/>
      <protection locked="0"/>
    </xf>
    <xf numFmtId="165" fontId="5" fillId="4" borderId="4" xfId="19" applyFill="1" applyBorder="1" applyAlignment="1" applyProtection="1">
      <alignment horizontal="center" vertical="center" wrapText="1"/>
      <protection locked="0"/>
    </xf>
    <xf numFmtId="165" fontId="5" fillId="4" borderId="5" xfId="19" applyFill="1" applyBorder="1" applyAlignment="1" applyProtection="1">
      <alignment horizontal="center" vertical="center" wrapText="1"/>
      <protection locked="0"/>
    </xf>
    <xf numFmtId="165" fontId="5" fillId="4" borderId="6" xfId="19" applyFill="1" applyBorder="1" applyAlignment="1" applyProtection="1">
      <alignment horizontal="center" vertical="center" wrapText="1"/>
      <protection locked="0"/>
    </xf>
    <xf numFmtId="165" fontId="5" fillId="2" borderId="2" xfId="19" applyFill="1" applyBorder="1" applyAlignment="1" applyProtection="1">
      <alignment horizontal="left" vertical="center" wrapText="1"/>
      <protection locked="0"/>
    </xf>
    <xf numFmtId="165" fontId="5" fillId="2" borderId="0" xfId="19" applyFill="1" applyAlignment="1" applyProtection="1">
      <alignment horizontal="left" vertical="center" wrapText="1"/>
      <protection locked="0"/>
    </xf>
    <xf numFmtId="165" fontId="5" fillId="2" borderId="5" xfId="19" applyFill="1" applyBorder="1" applyAlignment="1" applyProtection="1">
      <alignment horizontal="left" vertical="center" wrapText="1"/>
      <protection locked="0"/>
    </xf>
    <xf numFmtId="165" fontId="5" fillId="5" borderId="13" xfId="19" applyFill="1" applyBorder="1" applyAlignment="1" applyProtection="1">
      <alignment horizontal="left" vertical="center"/>
      <protection locked="0"/>
    </xf>
    <xf numFmtId="165" fontId="5" fillId="5" borderId="19" xfId="19" applyFill="1" applyBorder="1" applyAlignment="1" applyProtection="1">
      <alignment horizontal="left" vertical="center"/>
      <protection locked="0"/>
    </xf>
    <xf numFmtId="165" fontId="5" fillId="5" borderId="15" xfId="19" applyFill="1" applyBorder="1" applyAlignment="1" applyProtection="1">
      <alignment horizontal="left" vertical="center"/>
      <protection locked="0"/>
    </xf>
    <xf numFmtId="166" fontId="5" fillId="0" borderId="11" xfId="15" applyNumberFormat="1" applyBorder="1" applyAlignment="1" applyProtection="1">
      <alignment horizontal="left" vertical="center" wrapText="1"/>
      <protection locked="0"/>
    </xf>
    <xf numFmtId="0" fontId="5" fillId="0" borderId="1" xfId="2" applyBorder="1" applyAlignment="1" applyProtection="1">
      <alignment horizontal="left" vertical="center" wrapText="1"/>
      <protection locked="0"/>
    </xf>
    <xf numFmtId="0" fontId="5" fillId="0" borderId="2" xfId="2" applyBorder="1" applyAlignment="1" applyProtection="1">
      <alignment horizontal="left" vertical="center" wrapText="1"/>
      <protection locked="0"/>
    </xf>
    <xf numFmtId="0" fontId="5" fillId="0" borderId="3" xfId="2" applyBorder="1" applyAlignment="1" applyProtection="1">
      <alignment horizontal="left" vertical="center" wrapText="1"/>
      <protection locked="0"/>
    </xf>
    <xf numFmtId="0" fontId="5" fillId="0" borderId="4" xfId="2" applyBorder="1" applyAlignment="1" applyProtection="1">
      <alignment horizontal="left" vertical="center" wrapText="1"/>
      <protection locked="0"/>
    </xf>
    <xf numFmtId="0" fontId="5" fillId="0" borderId="5" xfId="2" applyBorder="1" applyAlignment="1" applyProtection="1">
      <alignment horizontal="left" vertical="center" wrapText="1"/>
      <protection locked="0"/>
    </xf>
    <xf numFmtId="0" fontId="5" fillId="0" borderId="6" xfId="2" applyBorder="1" applyAlignment="1" applyProtection="1">
      <alignment horizontal="left" vertical="center" wrapText="1"/>
      <protection locked="0"/>
    </xf>
    <xf numFmtId="0" fontId="5" fillId="0" borderId="11" xfId="17" applyBorder="1" applyAlignment="1" applyProtection="1">
      <alignment horizontal="center" vertical="top" wrapText="1"/>
      <protection locked="0"/>
    </xf>
    <xf numFmtId="0" fontId="5" fillId="0" borderId="9" xfId="17" applyBorder="1" applyAlignment="1" applyProtection="1">
      <alignment horizontal="center" vertical="top" wrapText="1"/>
      <protection locked="0"/>
    </xf>
    <xf numFmtId="0" fontId="6" fillId="3" borderId="11" xfId="17" applyFont="1" applyFill="1" applyBorder="1" applyAlignment="1" applyProtection="1">
      <alignment horizontal="center" vertical="center" wrapText="1"/>
      <protection locked="0"/>
    </xf>
    <xf numFmtId="165" fontId="6" fillId="3" borderId="11" xfId="19" applyFont="1" applyFill="1" applyBorder="1" applyProtection="1">
      <protection locked="0"/>
    </xf>
    <xf numFmtId="165" fontId="5" fillId="4" borderId="13" xfId="19" applyFill="1" applyBorder="1" applyAlignment="1" applyProtection="1">
      <alignment horizontal="left" vertical="top" wrapText="1"/>
      <protection locked="0"/>
    </xf>
    <xf numFmtId="165" fontId="5" fillId="4" borderId="19" xfId="19" applyFill="1" applyBorder="1" applyAlignment="1" applyProtection="1">
      <alignment horizontal="left" vertical="top" wrapText="1"/>
      <protection locked="0"/>
    </xf>
    <xf numFmtId="165" fontId="5" fillId="4" borderId="15" xfId="19" applyFill="1" applyBorder="1" applyAlignment="1" applyProtection="1">
      <alignment horizontal="left" vertical="top" wrapText="1"/>
      <protection locked="0"/>
    </xf>
    <xf numFmtId="165" fontId="5" fillId="4" borderId="11" xfId="19" applyFill="1" applyBorder="1" applyAlignment="1" applyProtection="1">
      <alignment vertical="center" wrapText="1"/>
      <protection locked="0"/>
    </xf>
    <xf numFmtId="165" fontId="5" fillId="2" borderId="11" xfId="19" applyFill="1" applyBorder="1" applyAlignment="1" applyProtection="1">
      <alignment vertical="center" wrapText="1"/>
      <protection locked="0"/>
    </xf>
    <xf numFmtId="0" fontId="5" fillId="0" borderId="11" xfId="15" applyBorder="1" applyAlignment="1" applyProtection="1">
      <alignment horizontal="left" vertical="center" wrapText="1"/>
      <protection locked="0"/>
    </xf>
    <xf numFmtId="17" fontId="5" fillId="0" borderId="13" xfId="15" applyNumberFormat="1" applyBorder="1" applyAlignment="1" applyProtection="1">
      <alignment horizontal="center" vertical="center"/>
      <protection locked="0"/>
    </xf>
    <xf numFmtId="17" fontId="5" fillId="0" borderId="19" xfId="15" applyNumberFormat="1" applyBorder="1" applyAlignment="1" applyProtection="1">
      <alignment horizontal="center" vertical="center"/>
      <protection locked="0"/>
    </xf>
    <xf numFmtId="17" fontId="5" fillId="0" borderId="15" xfId="15" applyNumberFormat="1" applyBorder="1" applyAlignment="1" applyProtection="1">
      <alignment horizontal="center" vertical="center"/>
      <protection locked="0"/>
    </xf>
    <xf numFmtId="1" fontId="5" fillId="0" borderId="13" xfId="15" applyNumberFormat="1" applyBorder="1" applyAlignment="1" applyProtection="1">
      <alignment horizontal="center" vertical="center" wrapText="1"/>
      <protection locked="0"/>
    </xf>
    <xf numFmtId="1" fontId="5" fillId="0" borderId="19" xfId="15" applyNumberFormat="1" applyBorder="1" applyAlignment="1" applyProtection="1">
      <alignment horizontal="center" vertical="center" wrapText="1"/>
      <protection locked="0"/>
    </xf>
    <xf numFmtId="1" fontId="5" fillId="0" borderId="15" xfId="15" applyNumberFormat="1" applyBorder="1" applyAlignment="1" applyProtection="1">
      <alignment horizontal="center" vertical="center" wrapText="1"/>
      <protection locked="0"/>
    </xf>
    <xf numFmtId="0" fontId="5" fillId="0" borderId="13" xfId="1" applyNumberFormat="1" applyFont="1" applyBorder="1" applyAlignment="1" applyProtection="1">
      <alignment horizontal="center" vertical="center"/>
      <protection locked="0"/>
    </xf>
    <xf numFmtId="0" fontId="5" fillId="0" borderId="19" xfId="1" applyNumberFormat="1" applyFont="1" applyBorder="1" applyAlignment="1" applyProtection="1">
      <alignment horizontal="center" vertical="center"/>
      <protection locked="0"/>
    </xf>
    <xf numFmtId="0" fontId="5" fillId="0" borderId="15" xfId="1" applyNumberFormat="1" applyFont="1" applyBorder="1" applyAlignment="1" applyProtection="1">
      <alignment horizontal="center" vertical="center"/>
      <protection locked="0"/>
    </xf>
    <xf numFmtId="17" fontId="5" fillId="2" borderId="11" xfId="15" applyNumberFormat="1" applyFill="1" applyBorder="1" applyAlignment="1" applyProtection="1">
      <alignment horizontal="center" vertical="center"/>
      <protection locked="0"/>
    </xf>
    <xf numFmtId="0" fontId="14" fillId="0" borderId="13" xfId="15" applyFont="1" applyBorder="1" applyAlignment="1" applyProtection="1">
      <alignment horizontal="center" vertical="center"/>
      <protection locked="0"/>
    </xf>
    <xf numFmtId="0" fontId="14" fillId="0" borderId="19" xfId="15" applyFont="1" applyBorder="1" applyAlignment="1" applyProtection="1">
      <alignment horizontal="center" vertical="center"/>
      <protection locked="0"/>
    </xf>
    <xf numFmtId="0" fontId="14" fillId="0" borderId="15" xfId="15" applyFont="1" applyBorder="1" applyAlignment="1" applyProtection="1">
      <alignment horizontal="center" vertical="center"/>
      <protection locked="0"/>
    </xf>
    <xf numFmtId="17" fontId="5" fillId="2" borderId="13" xfId="15" applyNumberFormat="1" applyFill="1" applyBorder="1" applyAlignment="1" applyProtection="1">
      <alignment horizontal="center" vertical="center"/>
      <protection locked="0"/>
    </xf>
    <xf numFmtId="0" fontId="5" fillId="2" borderId="19" xfId="15" applyFill="1" applyBorder="1" applyAlignment="1" applyProtection="1">
      <alignment horizontal="center" vertical="center"/>
      <protection locked="0"/>
    </xf>
    <xf numFmtId="0" fontId="5" fillId="2" borderId="15" xfId="15" applyFill="1" applyBorder="1" applyAlignment="1" applyProtection="1">
      <alignment horizontal="center" vertical="center"/>
      <protection locked="0"/>
    </xf>
    <xf numFmtId="0" fontId="15" fillId="2" borderId="20" xfId="13" applyFont="1" applyFill="1" applyBorder="1" applyAlignment="1">
      <alignment horizontal="center" vertical="center"/>
    </xf>
    <xf numFmtId="0" fontId="7" fillId="2" borderId="20" xfId="13" applyFont="1" applyFill="1" applyBorder="1" applyAlignment="1">
      <alignment horizontal="left" vertical="center"/>
    </xf>
    <xf numFmtId="0" fontId="7" fillId="0" borderId="20" xfId="13" applyFont="1" applyBorder="1" applyAlignment="1">
      <alignment horizontal="left" vertical="center" wrapText="1"/>
    </xf>
    <xf numFmtId="0" fontId="42" fillId="2" borderId="13" xfId="15" applyFont="1" applyFill="1" applyBorder="1" applyAlignment="1" applyProtection="1">
      <alignment horizontal="center" vertical="center"/>
      <protection locked="0"/>
    </xf>
    <xf numFmtId="0" fontId="5" fillId="2" borderId="13" xfId="15" applyFill="1" applyBorder="1" applyAlignment="1" applyProtection="1">
      <alignment vertical="center" wrapText="1"/>
      <protection locked="0"/>
    </xf>
    <xf numFmtId="165" fontId="5" fillId="0" borderId="1" xfId="19" applyFill="1" applyBorder="1" applyAlignment="1" applyProtection="1">
      <alignment vertical="center" wrapText="1"/>
      <protection locked="0"/>
    </xf>
    <xf numFmtId="165" fontId="5" fillId="0" borderId="2" xfId="19" applyFill="1" applyBorder="1" applyAlignment="1" applyProtection="1">
      <alignment vertical="center" wrapText="1"/>
      <protection locked="0"/>
    </xf>
    <xf numFmtId="165" fontId="5" fillId="0" borderId="3" xfId="19" applyFill="1" applyBorder="1" applyAlignment="1" applyProtection="1">
      <alignment vertical="center" wrapText="1"/>
      <protection locked="0"/>
    </xf>
    <xf numFmtId="165" fontId="5" fillId="0" borderId="7" xfId="19" applyFill="1" applyBorder="1" applyAlignment="1" applyProtection="1">
      <alignment vertical="center" wrapText="1"/>
      <protection locked="0"/>
    </xf>
    <xf numFmtId="165" fontId="5" fillId="0" borderId="0" xfId="19" applyFill="1" applyAlignment="1" applyProtection="1">
      <alignment vertical="center" wrapText="1"/>
      <protection locked="0"/>
    </xf>
    <xf numFmtId="165" fontId="5" fillId="0" borderId="8" xfId="19" applyFill="1" applyBorder="1" applyAlignment="1" applyProtection="1">
      <alignment vertical="center" wrapText="1"/>
      <protection locked="0"/>
    </xf>
    <xf numFmtId="165" fontId="5" fillId="0" borderId="4" xfId="19" applyFill="1" applyBorder="1" applyAlignment="1" applyProtection="1">
      <alignment vertical="center" wrapText="1"/>
      <protection locked="0"/>
    </xf>
    <xf numFmtId="165" fontId="5" fillId="0" borderId="5" xfId="19" applyFill="1" applyBorder="1" applyAlignment="1" applyProtection="1">
      <alignment vertical="center" wrapText="1"/>
      <protection locked="0"/>
    </xf>
    <xf numFmtId="165" fontId="5" fillId="0" borderId="6" xfId="19" applyFill="1" applyBorder="1" applyAlignment="1" applyProtection="1">
      <alignment vertical="center" wrapText="1"/>
      <protection locked="0"/>
    </xf>
    <xf numFmtId="165" fontId="5" fillId="4" borderId="0" xfId="19" applyFill="1" applyBorder="1" applyAlignment="1" applyProtection="1">
      <alignment vertical="center" wrapText="1"/>
      <protection locked="0"/>
    </xf>
    <xf numFmtId="165" fontId="5" fillId="0" borderId="1" xfId="19" applyBorder="1" applyAlignment="1" applyProtection="1">
      <alignment horizontal="left" vertical="center" wrapText="1"/>
      <protection locked="0"/>
    </xf>
    <xf numFmtId="165" fontId="5" fillId="0" borderId="2" xfId="19" applyBorder="1" applyAlignment="1" applyProtection="1">
      <alignment horizontal="left" vertical="center" wrapText="1"/>
      <protection locked="0"/>
    </xf>
    <xf numFmtId="165" fontId="5" fillId="0" borderId="3" xfId="19" applyBorder="1" applyAlignment="1" applyProtection="1">
      <alignment horizontal="left" vertical="center" wrapText="1"/>
      <protection locked="0"/>
    </xf>
    <xf numFmtId="165" fontId="5" fillId="0" borderId="7" xfId="19" applyBorder="1" applyAlignment="1" applyProtection="1">
      <alignment horizontal="left" vertical="center" wrapText="1"/>
      <protection locked="0"/>
    </xf>
    <xf numFmtId="165" fontId="5" fillId="0" borderId="0" xfId="19" applyAlignment="1" applyProtection="1">
      <alignment horizontal="left" vertical="center" wrapText="1"/>
      <protection locked="0"/>
    </xf>
    <xf numFmtId="165" fontId="5" fillId="0" borderId="8" xfId="19" applyBorder="1" applyAlignment="1" applyProtection="1">
      <alignment horizontal="left" vertical="center" wrapText="1"/>
      <protection locked="0"/>
    </xf>
    <xf numFmtId="165" fontId="5" fillId="0" borderId="4" xfId="19" applyBorder="1" applyAlignment="1" applyProtection="1">
      <alignment horizontal="left" vertical="center" wrapText="1"/>
      <protection locked="0"/>
    </xf>
    <xf numFmtId="165" fontId="5" fillId="0" borderId="5" xfId="19" applyBorder="1" applyAlignment="1" applyProtection="1">
      <alignment horizontal="left" vertical="center" wrapText="1"/>
      <protection locked="0"/>
    </xf>
    <xf numFmtId="165" fontId="5" fillId="0" borderId="6" xfId="19" applyBorder="1" applyAlignment="1" applyProtection="1">
      <alignment horizontal="left" vertical="center" wrapText="1"/>
      <protection locked="0"/>
    </xf>
    <xf numFmtId="165" fontId="6" fillId="3" borderId="11" xfId="19" applyFont="1" applyFill="1" applyBorder="1" applyAlignment="1" applyProtection="1">
      <alignment horizontal="center"/>
      <protection locked="0"/>
    </xf>
    <xf numFmtId="165" fontId="5" fillId="2" borderId="11" xfId="19" applyFill="1" applyBorder="1" applyAlignment="1" applyProtection="1">
      <alignment horizontal="center" vertical="center" wrapText="1"/>
      <protection locked="0"/>
    </xf>
    <xf numFmtId="165" fontId="5" fillId="4" borderId="11" xfId="19" applyFill="1" applyBorder="1" applyAlignment="1" applyProtection="1">
      <alignment horizontal="left" vertical="center" wrapText="1"/>
      <protection locked="0"/>
    </xf>
    <xf numFmtId="0" fontId="5" fillId="0" borderId="12" xfId="15" quotePrefix="1" applyBorder="1" applyAlignment="1" applyProtection="1">
      <alignment horizontal="left" vertical="center" wrapText="1"/>
      <protection locked="0"/>
    </xf>
    <xf numFmtId="0" fontId="6" fillId="3" borderId="9" xfId="17" applyFont="1" applyFill="1" applyBorder="1" applyAlignment="1" applyProtection="1">
      <alignment horizontal="center"/>
      <protection locked="0"/>
    </xf>
    <xf numFmtId="14" fontId="5" fillId="0" borderId="9" xfId="17" applyNumberFormat="1" applyBorder="1" applyAlignment="1" applyProtection="1">
      <alignment horizontal="center" vertical="center"/>
      <protection locked="0"/>
    </xf>
    <xf numFmtId="14" fontId="5" fillId="0" borderId="9" xfId="17" applyNumberFormat="1" applyBorder="1" applyAlignment="1" applyProtection="1">
      <alignment horizontal="center" vertical="top"/>
      <protection locked="0"/>
    </xf>
    <xf numFmtId="14" fontId="5" fillId="0" borderId="2" xfId="17" applyNumberFormat="1" applyBorder="1" applyAlignment="1" applyProtection="1">
      <alignment horizontal="center" vertical="center"/>
      <protection locked="0"/>
    </xf>
    <xf numFmtId="14" fontId="5" fillId="0" borderId="5" xfId="17" applyNumberFormat="1" applyBorder="1" applyAlignment="1" applyProtection="1">
      <alignment horizontal="center" vertical="center"/>
      <protection locked="0"/>
    </xf>
    <xf numFmtId="0" fontId="6" fillId="0" borderId="2" xfId="17" applyFont="1" applyBorder="1" applyAlignment="1" applyProtection="1">
      <alignment horizontal="left" vertical="top" wrapText="1"/>
      <protection locked="0"/>
    </xf>
    <xf numFmtId="0" fontId="6" fillId="0" borderId="0" xfId="17" applyFont="1" applyAlignment="1" applyProtection="1">
      <alignment horizontal="left" vertical="top" wrapText="1"/>
      <protection locked="0"/>
    </xf>
    <xf numFmtId="0" fontId="6" fillId="0" borderId="5" xfId="17" applyFont="1" applyBorder="1" applyAlignment="1" applyProtection="1">
      <alignment horizontal="left" vertical="top" wrapText="1"/>
      <protection locked="0"/>
    </xf>
    <xf numFmtId="0" fontId="6" fillId="0" borderId="2" xfId="17" applyFont="1" applyBorder="1" applyAlignment="1" applyProtection="1">
      <alignment vertical="top" wrapText="1"/>
      <protection locked="0"/>
    </xf>
    <xf numFmtId="0" fontId="6" fillId="0" borderId="0" xfId="17" applyFont="1" applyAlignment="1" applyProtection="1">
      <alignment vertical="top" wrapText="1"/>
      <protection locked="0"/>
    </xf>
    <xf numFmtId="0" fontId="6" fillId="0" borderId="5" xfId="17" applyFont="1" applyBorder="1" applyAlignment="1" applyProtection="1">
      <alignment vertical="top" wrapText="1"/>
      <protection locked="0"/>
    </xf>
    <xf numFmtId="164" fontId="5" fillId="0" borderId="9" xfId="17" applyNumberFormat="1" applyBorder="1" applyAlignment="1" applyProtection="1">
      <alignment horizontal="center" vertical="center" wrapText="1"/>
      <protection locked="0"/>
    </xf>
    <xf numFmtId="164" fontId="5" fillId="0" borderId="9" xfId="17" applyNumberFormat="1" applyBorder="1" applyAlignment="1" applyProtection="1">
      <alignment horizontal="center" vertical="top" wrapText="1"/>
      <protection locked="0"/>
    </xf>
    <xf numFmtId="164" fontId="5" fillId="0" borderId="2" xfId="17" applyNumberFormat="1" applyBorder="1" applyAlignment="1" applyProtection="1">
      <alignment horizontal="center" vertical="center" wrapText="1"/>
      <protection locked="0"/>
    </xf>
    <xf numFmtId="164" fontId="5" fillId="0" borderId="0" xfId="17" applyNumberFormat="1" applyBorder="1" applyAlignment="1" applyProtection="1">
      <alignment horizontal="center" vertical="center" wrapText="1"/>
      <protection locked="0"/>
    </xf>
    <xf numFmtId="164" fontId="5" fillId="0" borderId="5" xfId="17" applyNumberFormat="1" applyBorder="1" applyAlignment="1" applyProtection="1">
      <alignment horizontal="center" vertical="center" wrapText="1"/>
      <protection locked="0"/>
    </xf>
    <xf numFmtId="164" fontId="5" fillId="0" borderId="0" xfId="17" applyNumberFormat="1" applyAlignment="1" applyProtection="1">
      <alignment horizontal="center" vertical="center" wrapText="1"/>
      <protection locked="0"/>
    </xf>
    <xf numFmtId="169" fontId="5" fillId="0" borderId="13" xfId="15" applyNumberFormat="1" applyBorder="1" applyAlignment="1" applyProtection="1">
      <alignment horizontal="center" vertical="center" wrapText="1"/>
      <protection locked="0"/>
    </xf>
    <xf numFmtId="169" fontId="5" fillId="0" borderId="19" xfId="15" applyNumberFormat="1" applyBorder="1" applyAlignment="1" applyProtection="1">
      <alignment horizontal="center" vertical="center" wrapText="1"/>
      <protection locked="0"/>
    </xf>
    <xf numFmtId="169" fontId="5" fillId="0" borderId="15" xfId="15" applyNumberFormat="1" applyBorder="1" applyAlignment="1" applyProtection="1">
      <alignment horizontal="center" vertical="center" wrapText="1"/>
      <protection locked="0"/>
    </xf>
    <xf numFmtId="17" fontId="42" fillId="0" borderId="13" xfId="15" applyNumberFormat="1" applyFont="1" applyBorder="1" applyAlignment="1" applyProtection="1">
      <alignment horizontal="center" vertical="center" wrapText="1"/>
      <protection locked="0"/>
    </xf>
    <xf numFmtId="0" fontId="42" fillId="0" borderId="19" xfId="15" applyFont="1" applyBorder="1" applyAlignment="1" applyProtection="1">
      <alignment horizontal="center" vertical="center" wrapText="1"/>
      <protection locked="0"/>
    </xf>
    <xf numFmtId="0" fontId="42" fillId="0" borderId="15" xfId="15" applyFont="1" applyBorder="1" applyAlignment="1" applyProtection="1">
      <alignment horizontal="center" vertical="center" wrapText="1"/>
      <protection locked="0"/>
    </xf>
    <xf numFmtId="44" fontId="5" fillId="0" borderId="13" xfId="1" applyFont="1" applyBorder="1" applyAlignment="1" applyProtection="1">
      <alignment horizontal="center" vertical="center" wrapText="1"/>
      <protection locked="0"/>
    </xf>
    <xf numFmtId="44" fontId="5" fillId="0" borderId="19" xfId="1" applyFont="1" applyBorder="1" applyAlignment="1" applyProtection="1">
      <alignment horizontal="center" vertical="center" wrapText="1"/>
      <protection locked="0"/>
    </xf>
    <xf numFmtId="44" fontId="5" fillId="0" borderId="15" xfId="1" applyFont="1" applyBorder="1" applyAlignment="1" applyProtection="1">
      <alignment horizontal="center" vertical="center" wrapText="1"/>
      <protection locked="0"/>
    </xf>
    <xf numFmtId="168" fontId="5" fillId="0" borderId="13" xfId="15" applyNumberFormat="1" applyBorder="1" applyAlignment="1" applyProtection="1">
      <alignment horizontal="center" vertical="center"/>
      <protection locked="0"/>
    </xf>
    <xf numFmtId="168" fontId="5" fillId="0" borderId="19" xfId="15" applyNumberFormat="1" applyBorder="1" applyAlignment="1" applyProtection="1">
      <alignment horizontal="center" vertical="center"/>
      <protection locked="0"/>
    </xf>
    <xf numFmtId="168" fontId="5" fillId="0" borderId="15" xfId="15" applyNumberFormat="1" applyBorder="1" applyAlignment="1" applyProtection="1">
      <alignment horizontal="center" vertical="center"/>
      <protection locked="0"/>
    </xf>
    <xf numFmtId="17" fontId="5" fillId="0" borderId="20" xfId="15" applyNumberFormat="1" applyBorder="1" applyAlignment="1" applyProtection="1">
      <alignment horizontal="center" vertical="center" wrapText="1"/>
      <protection locked="0"/>
    </xf>
    <xf numFmtId="44" fontId="5" fillId="0" borderId="20" xfId="1" applyFont="1" applyBorder="1" applyAlignment="1" applyProtection="1">
      <alignment horizontal="center" vertical="center" wrapText="1"/>
      <protection locked="0"/>
    </xf>
    <xf numFmtId="168" fontId="5" fillId="0" borderId="20" xfId="15" applyNumberFormat="1" applyBorder="1" applyAlignment="1" applyProtection="1">
      <alignment horizontal="center" vertical="center"/>
      <protection locked="0"/>
    </xf>
    <xf numFmtId="169" fontId="5" fillId="0" borderId="19" xfId="15" applyNumberFormat="1" applyBorder="1" applyAlignment="1" applyProtection="1">
      <alignment horizontal="center" vertical="center"/>
      <protection locked="0"/>
    </xf>
    <xf numFmtId="169" fontId="5" fillId="0" borderId="15" xfId="15" applyNumberFormat="1" applyBorder="1" applyAlignment="1" applyProtection="1">
      <alignment horizontal="center" vertical="center"/>
      <protection locked="0"/>
    </xf>
    <xf numFmtId="44" fontId="5" fillId="0" borderId="21" xfId="1" applyFont="1" applyBorder="1" applyAlignment="1" applyProtection="1">
      <alignment horizontal="center" vertical="center" wrapText="1"/>
      <protection locked="0"/>
    </xf>
    <xf numFmtId="169" fontId="5" fillId="0" borderId="20" xfId="15" applyNumberFormat="1" applyBorder="1" applyAlignment="1" applyProtection="1">
      <alignment horizontal="center" vertical="center"/>
      <protection locked="0"/>
    </xf>
    <xf numFmtId="169" fontId="5" fillId="0" borderId="21" xfId="15" applyNumberFormat="1" applyBorder="1" applyAlignment="1" applyProtection="1">
      <alignment horizontal="center" vertical="center"/>
      <protection locked="0"/>
    </xf>
    <xf numFmtId="0" fontId="15" fillId="0" borderId="21" xfId="15" applyFont="1" applyBorder="1" applyAlignment="1" applyProtection="1">
      <alignment horizontal="center" vertical="center"/>
      <protection locked="0"/>
    </xf>
    <xf numFmtId="8" fontId="5" fillId="0" borderId="13" xfId="15" applyNumberFormat="1" applyBorder="1" applyAlignment="1" applyProtection="1">
      <alignment horizontal="center" vertical="center" wrapText="1"/>
      <protection locked="0"/>
    </xf>
    <xf numFmtId="17" fontId="5" fillId="0" borderId="23" xfId="15" applyNumberFormat="1" applyBorder="1" applyAlignment="1" applyProtection="1">
      <alignment horizontal="center" vertical="center" wrapText="1"/>
      <protection locked="0"/>
    </xf>
    <xf numFmtId="44" fontId="5" fillId="0" borderId="23" xfId="1" applyFont="1" applyBorder="1" applyAlignment="1" applyProtection="1">
      <alignment horizontal="center" vertical="center" wrapText="1"/>
      <protection locked="0"/>
    </xf>
    <xf numFmtId="168" fontId="5" fillId="0" borderId="23" xfId="15" applyNumberFormat="1" applyBorder="1" applyAlignment="1" applyProtection="1">
      <alignment horizontal="center" vertical="center"/>
      <protection locked="0"/>
    </xf>
    <xf numFmtId="0" fontId="15" fillId="0" borderId="23" xfId="15" applyFont="1" applyBorder="1" applyAlignment="1" applyProtection="1">
      <alignment horizontal="center" vertical="center"/>
      <protection locked="0"/>
    </xf>
    <xf numFmtId="17" fontId="5" fillId="0" borderId="19" xfId="15" applyNumberFormat="1" applyBorder="1" applyAlignment="1" applyProtection="1">
      <alignment horizontal="center" vertical="center" wrapText="1"/>
      <protection locked="0"/>
    </xf>
    <xf numFmtId="17" fontId="5" fillId="0" borderId="15" xfId="15" applyNumberFormat="1" applyBorder="1" applyAlignment="1" applyProtection="1">
      <alignment horizontal="center" vertical="center" wrapText="1"/>
      <protection locked="0"/>
    </xf>
    <xf numFmtId="0" fontId="13" fillId="3" borderId="9" xfId="13" applyFont="1" applyFill="1" applyBorder="1" applyAlignment="1">
      <alignment horizontal="center"/>
    </xf>
    <xf numFmtId="14" fontId="5" fillId="2" borderId="9" xfId="17" applyNumberFormat="1" applyFill="1" applyBorder="1" applyAlignment="1" applyProtection="1">
      <alignment horizontal="center" vertical="top"/>
      <protection locked="0"/>
    </xf>
    <xf numFmtId="165" fontId="5" fillId="5" borderId="11" xfId="19" applyFill="1" applyBorder="1" applyAlignment="1" applyProtection="1">
      <alignment vertical="center"/>
      <protection locked="0"/>
    </xf>
    <xf numFmtId="165" fontId="5" fillId="5" borderId="11" xfId="19" applyFill="1" applyBorder="1" applyAlignment="1" applyProtection="1">
      <alignment vertical="center" wrapText="1"/>
      <protection locked="0"/>
    </xf>
    <xf numFmtId="165" fontId="5" fillId="5" borderId="11" xfId="19" applyFill="1" applyBorder="1" applyAlignment="1" applyProtection="1">
      <alignment horizontal="left" vertical="center"/>
      <protection locked="0"/>
    </xf>
    <xf numFmtId="165" fontId="5" fillId="5" borderId="11" xfId="19" applyFill="1" applyBorder="1" applyAlignment="1" applyProtection="1">
      <alignment horizontal="left" vertical="center" wrapText="1"/>
      <protection locked="0"/>
    </xf>
    <xf numFmtId="0" fontId="7" fillId="0" borderId="12" xfId="13" applyFont="1" applyBorder="1" applyAlignment="1">
      <alignment horizontal="center" vertical="top"/>
    </xf>
    <xf numFmtId="0" fontId="5" fillId="0" borderId="11" xfId="17" applyBorder="1" applyAlignment="1" applyProtection="1">
      <alignment horizontal="center" vertical="top"/>
      <protection locked="0"/>
    </xf>
    <xf numFmtId="0" fontId="5" fillId="0" borderId="11" xfId="17" applyBorder="1" applyAlignment="1" applyProtection="1">
      <alignment horizontal="left" vertical="top" wrapText="1"/>
      <protection locked="0"/>
    </xf>
    <xf numFmtId="0" fontId="6" fillId="0" borderId="11" xfId="17" applyFont="1" applyBorder="1" applyAlignment="1" applyProtection="1">
      <alignment horizontal="left" vertical="top" wrapText="1"/>
      <protection locked="0"/>
    </xf>
    <xf numFmtId="17" fontId="5" fillId="0" borderId="13" xfId="15" quotePrefix="1" applyNumberFormat="1" applyBorder="1" applyAlignment="1" applyProtection="1">
      <alignment horizontal="center" vertical="center"/>
      <protection locked="0"/>
    </xf>
    <xf numFmtId="0" fontId="7" fillId="0" borderId="13" xfId="13" applyFont="1" applyBorder="1" applyAlignment="1">
      <alignment horizontal="center" vertical="center" wrapText="1"/>
    </xf>
    <xf numFmtId="0" fontId="7" fillId="0" borderId="15" xfId="13" applyFont="1" applyBorder="1" applyAlignment="1">
      <alignment horizontal="center" vertical="center" wrapText="1"/>
    </xf>
    <xf numFmtId="0" fontId="5" fillId="0" borderId="13" xfId="15" quotePrefix="1" applyBorder="1" applyAlignment="1" applyProtection="1">
      <alignment horizontal="center" vertical="center"/>
      <protection locked="0"/>
    </xf>
    <xf numFmtId="0" fontId="6" fillId="5" borderId="11" xfId="15" applyFont="1" applyFill="1" applyBorder="1" applyAlignment="1" applyProtection="1">
      <alignment vertical="center"/>
      <protection locked="0"/>
    </xf>
    <xf numFmtId="0" fontId="5" fillId="2" borderId="11" xfId="15" quotePrefix="1" applyFill="1" applyBorder="1" applyAlignment="1" applyProtection="1">
      <alignment horizontal="center" vertical="center"/>
      <protection locked="0"/>
    </xf>
    <xf numFmtId="165" fontId="5" fillId="2" borderId="11" xfId="19" applyFill="1" applyBorder="1" applyAlignment="1" applyProtection="1">
      <alignment horizontal="left" vertical="top" wrapText="1"/>
      <protection locked="0"/>
    </xf>
    <xf numFmtId="165" fontId="5" fillId="2" borderId="11" xfId="19" applyFill="1" applyBorder="1" applyAlignment="1" applyProtection="1">
      <alignment horizontal="left" vertical="center" wrapText="1"/>
      <protection locked="0"/>
    </xf>
    <xf numFmtId="0" fontId="5" fillId="2" borderId="13" xfId="15" applyFill="1" applyBorder="1" applyAlignment="1" applyProtection="1">
      <alignment horizontal="center" vertical="center"/>
      <protection locked="0"/>
    </xf>
    <xf numFmtId="165" fontId="5" fillId="5" borderId="15" xfId="19" applyFill="1" applyBorder="1" applyAlignment="1" applyProtection="1">
      <alignment vertical="center" wrapText="1"/>
      <protection locked="0"/>
    </xf>
    <xf numFmtId="165" fontId="5" fillId="4" borderId="11" xfId="19" applyFill="1" applyBorder="1" applyAlignment="1" applyProtection="1">
      <alignment horizontal="center" vertical="center" wrapText="1"/>
      <protection locked="0"/>
    </xf>
    <xf numFmtId="165" fontId="5" fillId="4" borderId="11" xfId="19" applyFill="1" applyBorder="1" applyAlignment="1" applyProtection="1">
      <alignment horizontal="left" vertical="top" wrapText="1"/>
      <protection locked="0"/>
    </xf>
    <xf numFmtId="0" fontId="5" fillId="2" borderId="0" xfId="15" applyFill="1" applyBorder="1" applyAlignment="1" applyProtection="1">
      <alignment horizontal="left" vertical="center" wrapText="1"/>
      <protection locked="0"/>
    </xf>
    <xf numFmtId="165" fontId="5" fillId="0" borderId="11" xfId="19" applyFill="1" applyBorder="1" applyAlignment="1" applyProtection="1">
      <alignment horizontal="left" vertical="top" wrapText="1"/>
      <protection locked="0"/>
    </xf>
    <xf numFmtId="165" fontId="5" fillId="5" borderId="11" xfId="19" applyFill="1" applyBorder="1" applyAlignment="1" applyProtection="1">
      <alignment horizontal="center" vertical="center"/>
      <protection locked="0"/>
    </xf>
    <xf numFmtId="0" fontId="6" fillId="2" borderId="2" xfId="15" applyFont="1" applyFill="1" applyBorder="1" applyAlignment="1" applyProtection="1">
      <alignment horizontal="center" vertical="center"/>
      <protection locked="0"/>
    </xf>
    <xf numFmtId="0" fontId="6" fillId="2" borderId="5" xfId="15" applyFont="1" applyFill="1" applyBorder="1" applyAlignment="1" applyProtection="1">
      <alignment horizontal="center" vertical="center"/>
      <protection locked="0"/>
    </xf>
    <xf numFmtId="0" fontId="42" fillId="2" borderId="2" xfId="15" applyFont="1" applyFill="1" applyBorder="1" applyAlignment="1" applyProtection="1">
      <alignment horizontal="center" vertical="center"/>
      <protection locked="0"/>
    </xf>
    <xf numFmtId="0" fontId="42" fillId="2" borderId="5" xfId="15" applyFont="1" applyFill="1" applyBorder="1" applyAlignment="1" applyProtection="1">
      <alignment horizontal="center" vertical="center"/>
      <protection locked="0"/>
    </xf>
    <xf numFmtId="0" fontId="6" fillId="3" borderId="11" xfId="2" applyFont="1" applyFill="1" applyBorder="1" applyAlignment="1" applyProtection="1">
      <alignment horizontal="left" vertical="center"/>
      <protection locked="0"/>
    </xf>
    <xf numFmtId="0" fontId="5" fillId="2" borderId="1" xfId="2" applyFill="1" applyBorder="1" applyAlignment="1" applyProtection="1">
      <alignment horizontal="left" vertical="center" wrapText="1"/>
      <protection locked="0"/>
    </xf>
    <xf numFmtId="0" fontId="5" fillId="2" borderId="2" xfId="2" applyFill="1" applyBorder="1" applyAlignment="1" applyProtection="1">
      <alignment horizontal="left" vertical="center" wrapText="1"/>
      <protection locked="0"/>
    </xf>
    <xf numFmtId="0" fontId="5" fillId="2" borderId="3" xfId="2" applyFill="1" applyBorder="1" applyAlignment="1" applyProtection="1">
      <alignment horizontal="left" vertical="center" wrapText="1"/>
      <protection locked="0"/>
    </xf>
    <xf numFmtId="0" fontId="5" fillId="2" borderId="7" xfId="2" applyFill="1" applyBorder="1" applyAlignment="1" applyProtection="1">
      <alignment horizontal="left" vertical="center" wrapText="1"/>
      <protection locked="0"/>
    </xf>
    <xf numFmtId="0" fontId="5" fillId="2" borderId="0" xfId="2" applyFill="1" applyAlignment="1" applyProtection="1">
      <alignment horizontal="left" vertical="center" wrapText="1"/>
      <protection locked="0"/>
    </xf>
    <xf numFmtId="0" fontId="5" fillId="2" borderId="8" xfId="2" applyFill="1" applyBorder="1" applyAlignment="1" applyProtection="1">
      <alignment horizontal="left" vertical="center" wrapText="1"/>
      <protection locked="0"/>
    </xf>
    <xf numFmtId="0" fontId="5" fillId="2" borderId="4" xfId="2" applyFill="1" applyBorder="1" applyAlignment="1" applyProtection="1">
      <alignment horizontal="left" vertical="center" wrapText="1"/>
      <protection locked="0"/>
    </xf>
    <xf numFmtId="0" fontId="5" fillId="2" borderId="5" xfId="2" applyFill="1" applyBorder="1" applyAlignment="1" applyProtection="1">
      <alignment horizontal="left" vertical="center" wrapText="1"/>
      <protection locked="0"/>
    </xf>
    <xf numFmtId="0" fontId="5" fillId="2" borderId="6" xfId="2" applyFill="1" applyBorder="1" applyAlignment="1" applyProtection="1">
      <alignment horizontal="left" vertical="center" wrapText="1"/>
      <protection locked="0"/>
    </xf>
    <xf numFmtId="0" fontId="6" fillId="3" borderId="11" xfId="2" applyFont="1" applyFill="1" applyBorder="1" applyAlignment="1" applyProtection="1">
      <alignment horizontal="left" vertical="center" wrapText="1"/>
      <protection locked="0"/>
    </xf>
    <xf numFmtId="0" fontId="5" fillId="0" borderId="7" xfId="2" applyBorder="1" applyAlignment="1" applyProtection="1">
      <alignment horizontal="left" vertical="center" wrapText="1"/>
      <protection locked="0"/>
    </xf>
    <xf numFmtId="0" fontId="5" fillId="0" borderId="0" xfId="2" applyAlignment="1" applyProtection="1">
      <alignment horizontal="left" vertical="center" wrapText="1"/>
      <protection locked="0"/>
    </xf>
    <xf numFmtId="0" fontId="5" fillId="0" borderId="8" xfId="2" applyBorder="1" applyAlignment="1" applyProtection="1">
      <alignment horizontal="left" vertical="center" wrapText="1"/>
      <protection locked="0"/>
    </xf>
    <xf numFmtId="0" fontId="5" fillId="2" borderId="12" xfId="2" applyFill="1" applyBorder="1" applyAlignment="1" applyProtection="1">
      <alignment horizontal="left" vertical="center" wrapText="1"/>
      <protection locked="0"/>
    </xf>
    <xf numFmtId="0" fontId="5" fillId="2" borderId="9" xfId="2" applyFill="1" applyBorder="1" applyAlignment="1" applyProtection="1">
      <alignment horizontal="left" vertical="center" wrapText="1"/>
      <protection locked="0"/>
    </xf>
    <xf numFmtId="0" fontId="5" fillId="2" borderId="10" xfId="2" applyFill="1" applyBorder="1" applyAlignment="1" applyProtection="1">
      <alignment horizontal="left" vertical="center" wrapText="1"/>
      <protection locked="0"/>
    </xf>
    <xf numFmtId="0" fontId="6" fillId="3" borderId="12" xfId="2" applyFont="1" applyFill="1" applyBorder="1" applyAlignment="1" applyProtection="1">
      <alignment horizontal="left" vertical="center" wrapText="1"/>
      <protection locked="0"/>
    </xf>
    <xf numFmtId="0" fontId="5" fillId="3" borderId="9" xfId="2" applyFill="1" applyBorder="1" applyAlignment="1">
      <alignment horizontal="left" vertical="center" wrapText="1"/>
    </xf>
    <xf numFmtId="0" fontId="5" fillId="3" borderId="11" xfId="2" applyFill="1" applyBorder="1" applyAlignment="1" applyProtection="1">
      <alignment horizontal="left" vertical="center" wrapText="1"/>
      <protection locked="0"/>
    </xf>
    <xf numFmtId="0" fontId="5" fillId="3" borderId="11" xfId="2" applyFill="1" applyBorder="1" applyAlignment="1" applyProtection="1">
      <alignment horizontal="left" vertical="center"/>
      <protection locked="0"/>
    </xf>
    <xf numFmtId="0" fontId="6" fillId="3" borderId="1" xfId="2" applyFont="1" applyFill="1" applyBorder="1" applyAlignment="1" applyProtection="1">
      <alignment horizontal="left" vertical="center" wrapText="1"/>
      <protection locked="0"/>
    </xf>
    <xf numFmtId="0" fontId="6" fillId="3" borderId="3" xfId="2" applyFont="1" applyFill="1" applyBorder="1" applyAlignment="1" applyProtection="1">
      <alignment horizontal="left" vertical="center" wrapText="1"/>
      <protection locked="0"/>
    </xf>
    <xf numFmtId="0" fontId="6" fillId="3" borderId="4" xfId="2" applyFont="1" applyFill="1" applyBorder="1" applyAlignment="1" applyProtection="1">
      <alignment horizontal="left" vertical="center" wrapText="1"/>
      <protection locked="0"/>
    </xf>
    <xf numFmtId="0" fontId="6" fillId="3" borderId="6" xfId="2" applyFont="1" applyFill="1" applyBorder="1" applyAlignment="1" applyProtection="1">
      <alignment horizontal="left" vertical="center" wrapText="1"/>
      <protection locked="0"/>
    </xf>
    <xf numFmtId="14" fontId="5" fillId="0" borderId="12" xfId="20" applyNumberFormat="1" applyBorder="1" applyAlignment="1" applyProtection="1">
      <alignment horizontal="center" vertical="top"/>
      <protection locked="0"/>
    </xf>
    <xf numFmtId="14" fontId="5" fillId="0" borderId="10" xfId="20" applyNumberFormat="1" applyBorder="1" applyAlignment="1" applyProtection="1">
      <alignment horizontal="center" vertical="top"/>
      <protection locked="0"/>
    </xf>
    <xf numFmtId="0" fontId="6" fillId="3" borderId="3" xfId="17" applyFont="1" applyFill="1" applyBorder="1" applyAlignment="1" applyProtection="1">
      <alignment horizontal="left" vertical="top" wrapText="1"/>
      <protection locked="0"/>
    </xf>
    <xf numFmtId="0" fontId="6" fillId="3" borderId="8" xfId="17" applyFont="1" applyFill="1" applyBorder="1" applyAlignment="1" applyProtection="1">
      <alignment horizontal="left" vertical="top" wrapText="1"/>
      <protection locked="0"/>
    </xf>
    <xf numFmtId="0" fontId="6" fillId="3" borderId="6" xfId="17" applyFont="1" applyFill="1" applyBorder="1" applyAlignment="1" applyProtection="1">
      <alignment horizontal="left" vertical="top" wrapText="1"/>
      <protection locked="0"/>
    </xf>
    <xf numFmtId="0" fontId="5" fillId="0" borderId="1" xfId="17" applyBorder="1" applyAlignment="1" applyProtection="1">
      <alignment horizontal="center" vertical="top" wrapText="1"/>
      <protection locked="0"/>
    </xf>
    <xf numFmtId="0" fontId="5" fillId="0" borderId="3" xfId="17" applyBorder="1" applyAlignment="1" applyProtection="1">
      <alignment horizontal="center" vertical="top" wrapText="1"/>
      <protection locked="0"/>
    </xf>
    <xf numFmtId="0" fontId="5" fillId="0" borderId="7" xfId="17" applyBorder="1" applyAlignment="1" applyProtection="1">
      <alignment horizontal="center" vertical="top" wrapText="1"/>
      <protection locked="0"/>
    </xf>
    <xf numFmtId="0" fontId="5" fillId="0" borderId="8" xfId="17" applyBorder="1" applyAlignment="1" applyProtection="1">
      <alignment horizontal="center" vertical="top" wrapText="1"/>
      <protection locked="0"/>
    </xf>
    <xf numFmtId="0" fontId="5" fillId="0" borderId="4" xfId="17" applyBorder="1" applyAlignment="1" applyProtection="1">
      <alignment horizontal="center" vertical="top" wrapText="1"/>
      <protection locked="0"/>
    </xf>
    <xf numFmtId="0" fontId="5" fillId="0" borderId="6" xfId="17" applyBorder="1" applyAlignment="1" applyProtection="1">
      <alignment horizontal="center" vertical="top" wrapText="1"/>
      <protection locked="0"/>
    </xf>
    <xf numFmtId="164" fontId="5" fillId="0" borderId="12" xfId="20" applyNumberFormat="1" applyBorder="1" applyAlignment="1" applyProtection="1">
      <alignment horizontal="center" vertical="top" wrapText="1"/>
      <protection locked="0"/>
    </xf>
    <xf numFmtId="164" fontId="5" fillId="0" borderId="10" xfId="20" applyNumberFormat="1" applyBorder="1" applyAlignment="1" applyProtection="1">
      <alignment horizontal="center" vertical="top" wrapText="1"/>
      <protection locked="0"/>
    </xf>
    <xf numFmtId="0" fontId="6" fillId="5" borderId="11" xfId="2" applyFont="1" applyFill="1" applyBorder="1" applyProtection="1">
      <protection locked="0"/>
    </xf>
    <xf numFmtId="0" fontId="5" fillId="0" borderId="11" xfId="2" applyBorder="1" applyAlignment="1" applyProtection="1">
      <alignment horizontal="center" vertical="center"/>
      <protection locked="0"/>
    </xf>
    <xf numFmtId="17" fontId="5" fillId="0" borderId="11" xfId="2" applyNumberFormat="1" applyBorder="1" applyAlignment="1" applyProtection="1">
      <alignment horizontal="center" vertical="center"/>
      <protection locked="0"/>
    </xf>
    <xf numFmtId="0" fontId="5" fillId="0" borderId="13" xfId="2" applyBorder="1" applyAlignment="1" applyProtection="1">
      <alignment horizontal="center" vertical="center" wrapText="1"/>
      <protection locked="0"/>
    </xf>
    <xf numFmtId="0" fontId="5" fillId="0" borderId="19" xfId="2" applyBorder="1" applyAlignment="1" applyProtection="1">
      <alignment horizontal="center" vertical="center" wrapText="1"/>
      <protection locked="0"/>
    </xf>
    <xf numFmtId="0" fontId="5" fillId="0" borderId="19" xfId="2" applyBorder="1" applyAlignment="1" applyProtection="1">
      <alignment horizontal="center" vertical="center"/>
      <protection locked="0"/>
    </xf>
    <xf numFmtId="0" fontId="5" fillId="0" borderId="15" xfId="2" applyBorder="1" applyAlignment="1" applyProtection="1">
      <alignment horizontal="center" vertical="center"/>
      <protection locked="0"/>
    </xf>
    <xf numFmtId="0" fontId="5" fillId="0" borderId="15" xfId="2" applyBorder="1" applyAlignment="1" applyProtection="1">
      <alignment horizontal="center" vertical="center" wrapText="1"/>
      <protection locked="0"/>
    </xf>
    <xf numFmtId="0" fontId="42" fillId="0" borderId="11" xfId="2" applyFont="1" applyBorder="1" applyAlignment="1" applyProtection="1">
      <alignment horizontal="center" vertical="center"/>
      <protection locked="0"/>
    </xf>
    <xf numFmtId="0" fontId="6" fillId="5" borderId="1" xfId="2" applyFont="1" applyFill="1" applyBorder="1" applyProtection="1">
      <protection locked="0"/>
    </xf>
    <xf numFmtId="0" fontId="6" fillId="5" borderId="2" xfId="2" applyFont="1" applyFill="1" applyBorder="1" applyProtection="1">
      <protection locked="0"/>
    </xf>
    <xf numFmtId="0" fontId="6" fillId="5" borderId="9" xfId="2" applyFont="1" applyFill="1" applyBorder="1" applyProtection="1">
      <protection locked="0"/>
    </xf>
    <xf numFmtId="0" fontId="6" fillId="5" borderId="10" xfId="2" applyFont="1" applyFill="1" applyBorder="1" applyProtection="1">
      <protection locked="0"/>
    </xf>
    <xf numFmtId="0" fontId="5" fillId="2" borderId="11" xfId="2" applyFill="1" applyBorder="1" applyAlignment="1" applyProtection="1">
      <alignment horizontal="center" vertical="center"/>
      <protection locked="0"/>
    </xf>
    <xf numFmtId="0" fontId="5" fillId="0" borderId="11" xfId="2" applyBorder="1" applyAlignment="1" applyProtection="1">
      <alignment horizontal="center" vertical="center" wrapText="1"/>
      <protection locked="0"/>
    </xf>
    <xf numFmtId="0" fontId="15" fillId="0" borderId="11" xfId="2" applyFont="1" applyBorder="1" applyAlignment="1" applyProtection="1">
      <alignment horizontal="center" vertical="center"/>
      <protection locked="0"/>
    </xf>
    <xf numFmtId="0" fontId="5" fillId="2" borderId="9" xfId="2" applyFill="1" applyBorder="1" applyProtection="1">
      <protection locked="0"/>
    </xf>
    <xf numFmtId="0" fontId="6" fillId="5" borderId="12" xfId="2" applyFont="1" applyFill="1" applyBorder="1" applyProtection="1">
      <protection locked="0"/>
    </xf>
    <xf numFmtId="0" fontId="6" fillId="3" borderId="12" xfId="2" applyFont="1" applyFill="1" applyBorder="1" applyAlignment="1" applyProtection="1">
      <alignment horizontal="left"/>
      <protection locked="0"/>
    </xf>
    <xf numFmtId="0" fontId="6" fillId="3" borderId="10" xfId="2" applyFont="1" applyFill="1" applyBorder="1" applyAlignment="1" applyProtection="1">
      <alignment horizontal="left"/>
      <protection locked="0"/>
    </xf>
    <xf numFmtId="0" fontId="6" fillId="2" borderId="1" xfId="2" applyFont="1" applyFill="1" applyBorder="1" applyAlignment="1" applyProtection="1">
      <alignment horizontal="center" vertical="center"/>
      <protection locked="0"/>
    </xf>
    <xf numFmtId="0" fontId="6" fillId="2" borderId="3" xfId="2" applyFont="1" applyFill="1" applyBorder="1" applyAlignment="1" applyProtection="1">
      <alignment horizontal="center" vertical="center"/>
      <protection locked="0"/>
    </xf>
    <xf numFmtId="0" fontId="6" fillId="2" borderId="4" xfId="2" applyFont="1" applyFill="1" applyBorder="1" applyAlignment="1" applyProtection="1">
      <alignment horizontal="center" vertical="center"/>
      <protection locked="0"/>
    </xf>
    <xf numFmtId="0" fontId="6" fillId="2" borderId="6" xfId="2" applyFont="1" applyFill="1" applyBorder="1" applyAlignment="1" applyProtection="1">
      <alignment horizontal="center" vertical="center"/>
      <protection locked="0"/>
    </xf>
    <xf numFmtId="0" fontId="5" fillId="2" borderId="1" xfId="2" applyFill="1" applyBorder="1" applyAlignment="1" applyProtection="1">
      <alignment vertical="center" wrapText="1"/>
      <protection locked="0"/>
    </xf>
    <xf numFmtId="0" fontId="5" fillId="2" borderId="2" xfId="2" applyFill="1" applyBorder="1" applyAlignment="1" applyProtection="1">
      <alignment vertical="center" wrapText="1"/>
      <protection locked="0"/>
    </xf>
    <xf numFmtId="0" fontId="5" fillId="2" borderId="3" xfId="2" applyFill="1" applyBorder="1" applyAlignment="1" applyProtection="1">
      <alignment vertical="center" wrapText="1"/>
      <protection locked="0"/>
    </xf>
    <xf numFmtId="0" fontId="5" fillId="2" borderId="4" xfId="2" applyFill="1" applyBorder="1" applyAlignment="1" applyProtection="1">
      <alignment vertical="center" wrapText="1"/>
      <protection locked="0"/>
    </xf>
    <xf numFmtId="0" fontId="5" fillId="2" borderId="5" xfId="2" applyFill="1" applyBorder="1" applyAlignment="1" applyProtection="1">
      <alignment vertical="center" wrapText="1"/>
      <protection locked="0"/>
    </xf>
    <xf numFmtId="0" fontId="5" fillId="2" borderId="6" xfId="2" applyFill="1" applyBorder="1" applyAlignment="1" applyProtection="1">
      <alignment vertical="center" wrapText="1"/>
      <protection locked="0"/>
    </xf>
    <xf numFmtId="0" fontId="42" fillId="2" borderId="1" xfId="2" applyFont="1" applyFill="1" applyBorder="1" applyAlignment="1" applyProtection="1">
      <alignment horizontal="center" vertical="center"/>
      <protection locked="0"/>
    </xf>
    <xf numFmtId="0" fontId="42" fillId="2" borderId="3" xfId="2" applyFont="1" applyFill="1" applyBorder="1" applyAlignment="1" applyProtection="1">
      <alignment horizontal="center" vertical="center"/>
      <protection locked="0"/>
    </xf>
    <xf numFmtId="0" fontId="42" fillId="2" borderId="4" xfId="2" applyFont="1" applyFill="1" applyBorder="1" applyAlignment="1" applyProtection="1">
      <alignment horizontal="center" vertical="center"/>
      <protection locked="0"/>
    </xf>
    <xf numFmtId="0" fontId="42" fillId="2" borderId="6" xfId="2" applyFont="1" applyFill="1" applyBorder="1" applyAlignment="1" applyProtection="1">
      <alignment horizontal="center" vertical="center"/>
      <protection locked="0"/>
    </xf>
    <xf numFmtId="166" fontId="5" fillId="2" borderId="12" xfId="2" applyNumberFormat="1" applyFill="1" applyBorder="1" applyAlignment="1" applyProtection="1">
      <alignment horizontal="left" vertical="center" wrapText="1"/>
      <protection locked="0"/>
    </xf>
    <xf numFmtId="166" fontId="5" fillId="2" borderId="9" xfId="2" applyNumberFormat="1" applyFill="1" applyBorder="1" applyAlignment="1" applyProtection="1">
      <alignment horizontal="left" vertical="center" wrapText="1"/>
      <protection locked="0"/>
    </xf>
    <xf numFmtId="166" fontId="5" fillId="2" borderId="10" xfId="2" applyNumberFormat="1" applyFill="1" applyBorder="1" applyAlignment="1" applyProtection="1">
      <alignment horizontal="left" vertical="center" wrapText="1"/>
      <protection locked="0"/>
    </xf>
    <xf numFmtId="0" fontId="6" fillId="3" borderId="1" xfId="2" applyFont="1" applyFill="1" applyBorder="1" applyAlignment="1" applyProtection="1">
      <alignment vertical="center" wrapText="1"/>
      <protection locked="0"/>
    </xf>
    <xf numFmtId="0" fontId="6" fillId="3" borderId="3" xfId="2" applyFont="1" applyFill="1" applyBorder="1" applyAlignment="1" applyProtection="1">
      <alignment vertical="center" wrapText="1"/>
      <protection locked="0"/>
    </xf>
    <xf numFmtId="0" fontId="6" fillId="3" borderId="4" xfId="2" applyFont="1" applyFill="1" applyBorder="1" applyAlignment="1" applyProtection="1">
      <alignment vertical="center" wrapText="1"/>
      <protection locked="0"/>
    </xf>
    <xf numFmtId="0" fontId="6" fillId="3" borderId="6" xfId="2" applyFont="1" applyFill="1" applyBorder="1" applyAlignment="1" applyProtection="1">
      <alignment vertical="center" wrapText="1"/>
      <protection locked="0"/>
    </xf>
    <xf numFmtId="164" fontId="5" fillId="0" borderId="11" xfId="17" applyNumberFormat="1" applyBorder="1" applyAlignment="1" applyProtection="1">
      <alignment horizontal="center" vertical="top" wrapText="1"/>
      <protection locked="0"/>
    </xf>
    <xf numFmtId="14" fontId="5" fillId="0" borderId="11" xfId="20" applyNumberFormat="1" applyBorder="1" applyAlignment="1" applyProtection="1">
      <alignment horizontal="center" vertical="top"/>
      <protection locked="0"/>
    </xf>
    <xf numFmtId="0" fontId="5" fillId="0" borderId="1" xfId="17" applyBorder="1" applyAlignment="1" applyProtection="1">
      <alignment vertical="top" wrapText="1"/>
      <protection locked="0"/>
    </xf>
    <xf numFmtId="0" fontId="5" fillId="0" borderId="3" xfId="17" applyBorder="1" applyAlignment="1" applyProtection="1">
      <alignment vertical="top" wrapText="1"/>
      <protection locked="0"/>
    </xf>
    <xf numFmtId="0" fontId="5" fillId="0" borderId="7" xfId="17" applyBorder="1" applyAlignment="1" applyProtection="1">
      <alignment vertical="top" wrapText="1"/>
      <protection locked="0"/>
    </xf>
    <xf numFmtId="0" fontId="5" fillId="0" borderId="8" xfId="17" applyBorder="1" applyAlignment="1" applyProtection="1">
      <alignment vertical="top" wrapText="1"/>
      <protection locked="0"/>
    </xf>
    <xf numFmtId="0" fontId="5" fillId="0" borderId="4" xfId="17" applyBorder="1" applyAlignment="1" applyProtection="1">
      <alignment vertical="top" wrapText="1"/>
      <protection locked="0"/>
    </xf>
    <xf numFmtId="0" fontId="5" fillId="0" borderId="6" xfId="17" applyBorder="1" applyAlignment="1" applyProtection="1">
      <alignment vertical="top" wrapText="1"/>
      <protection locked="0"/>
    </xf>
    <xf numFmtId="0" fontId="5" fillId="0" borderId="13" xfId="2" applyBorder="1" applyAlignment="1" applyProtection="1">
      <alignment horizontal="center" vertical="center"/>
      <protection locked="0"/>
    </xf>
    <xf numFmtId="14" fontId="5" fillId="0" borderId="13" xfId="2" applyNumberFormat="1" applyBorder="1" applyAlignment="1" applyProtection="1">
      <alignment horizontal="center" vertical="center" wrapText="1"/>
      <protection locked="0"/>
    </xf>
    <xf numFmtId="0" fontId="5" fillId="2" borderId="5" xfId="2" applyFill="1" applyBorder="1" applyProtection="1">
      <protection locked="0"/>
    </xf>
    <xf numFmtId="165" fontId="5" fillId="0" borderId="1" xfId="19" applyFill="1" applyBorder="1" applyAlignment="1" applyProtection="1">
      <alignment horizontal="left" vertical="center" wrapText="1"/>
      <protection locked="0"/>
    </xf>
    <xf numFmtId="165" fontId="5" fillId="0" borderId="3" xfId="19" applyFill="1" applyBorder="1" applyAlignment="1" applyProtection="1">
      <alignment horizontal="left" vertical="center" wrapText="1"/>
      <protection locked="0"/>
    </xf>
    <xf numFmtId="165" fontId="5" fillId="0" borderId="7" xfId="19" applyFill="1" applyBorder="1" applyAlignment="1" applyProtection="1">
      <alignment horizontal="left" vertical="center" wrapText="1"/>
      <protection locked="0"/>
    </xf>
    <xf numFmtId="165" fontId="5" fillId="0" borderId="8" xfId="19" applyFill="1" applyBorder="1" applyAlignment="1" applyProtection="1">
      <alignment horizontal="left" vertical="center" wrapText="1"/>
      <protection locked="0"/>
    </xf>
    <xf numFmtId="165" fontId="5" fillId="0" borderId="4" xfId="19" applyFill="1" applyBorder="1" applyAlignment="1" applyProtection="1">
      <alignment horizontal="left" vertical="center" wrapText="1"/>
      <protection locked="0"/>
    </xf>
    <xf numFmtId="165" fontId="5" fillId="0" borderId="6" xfId="19" applyFill="1" applyBorder="1" applyAlignment="1" applyProtection="1">
      <alignment horizontal="left" vertical="center" wrapText="1"/>
      <protection locked="0"/>
    </xf>
    <xf numFmtId="165" fontId="5" fillId="2" borderId="13" xfId="19" applyFill="1" applyBorder="1" applyAlignment="1" applyProtection="1">
      <alignment horizontal="left" vertical="center" wrapText="1"/>
      <protection locked="0"/>
    </xf>
    <xf numFmtId="165" fontId="5" fillId="2" borderId="19" xfId="19" applyFill="1" applyBorder="1" applyAlignment="1" applyProtection="1">
      <alignment horizontal="left" vertical="center" wrapText="1"/>
      <protection locked="0"/>
    </xf>
    <xf numFmtId="165" fontId="5" fillId="2" borderId="15" xfId="19" applyFill="1" applyBorder="1" applyAlignment="1" applyProtection="1">
      <alignment horizontal="left" vertical="center" wrapText="1"/>
      <protection locked="0"/>
    </xf>
    <xf numFmtId="165" fontId="5" fillId="0" borderId="11" xfId="19" applyFill="1" applyBorder="1" applyAlignment="1" applyProtection="1">
      <alignment horizontal="left" vertical="center" wrapText="1"/>
      <protection locked="0"/>
    </xf>
    <xf numFmtId="164" fontId="14" fillId="0" borderId="12" xfId="17" applyNumberFormat="1" applyFont="1" applyBorder="1" applyAlignment="1" applyProtection="1">
      <alignment horizontal="center" vertical="top" wrapText="1"/>
      <protection locked="0"/>
    </xf>
    <xf numFmtId="164" fontId="14" fillId="0" borderId="10" xfId="17" applyNumberFormat="1" applyFont="1" applyBorder="1" applyAlignment="1" applyProtection="1">
      <alignment horizontal="center" vertical="top" wrapText="1"/>
      <protection locked="0"/>
    </xf>
    <xf numFmtId="164" fontId="6" fillId="3" borderId="3" xfId="18" applyFont="1" applyFill="1" applyBorder="1" applyAlignment="1">
      <alignment horizontal="center" wrapText="1"/>
    </xf>
    <xf numFmtId="164" fontId="6" fillId="3" borderId="8" xfId="18" applyFont="1" applyFill="1" applyBorder="1" applyAlignment="1">
      <alignment horizontal="center" wrapText="1"/>
    </xf>
    <xf numFmtId="164" fontId="6" fillId="3" borderId="6" xfId="18" applyFont="1" applyFill="1" applyBorder="1" applyAlignment="1">
      <alignment horizontal="center" wrapText="1"/>
    </xf>
    <xf numFmtId="0" fontId="5" fillId="0" borderId="11" xfId="2" quotePrefix="1" applyBorder="1" applyAlignment="1" applyProtection="1">
      <alignment horizontal="center" vertical="center" wrapText="1"/>
      <protection locked="0"/>
    </xf>
    <xf numFmtId="0" fontId="5" fillId="0" borderId="1" xfId="2" applyBorder="1" applyAlignment="1" applyProtection="1">
      <alignment horizontal="center" vertical="center" wrapText="1"/>
      <protection locked="0"/>
    </xf>
    <xf numFmtId="0" fontId="5" fillId="0" borderId="7" xfId="2" applyBorder="1" applyAlignment="1" applyProtection="1">
      <alignment horizontal="center" vertical="center" wrapText="1"/>
      <protection locked="0"/>
    </xf>
    <xf numFmtId="0" fontId="5" fillId="0" borderId="4" xfId="2" applyBorder="1" applyAlignment="1" applyProtection="1">
      <alignment horizontal="center" vertical="center" wrapText="1"/>
      <protection locked="0"/>
    </xf>
    <xf numFmtId="14" fontId="5" fillId="0" borderId="1" xfId="2" applyNumberFormat="1" applyBorder="1" applyAlignment="1" applyProtection="1">
      <alignment horizontal="center" vertical="center" wrapText="1"/>
      <protection locked="0"/>
    </xf>
    <xf numFmtId="14" fontId="5" fillId="0" borderId="7" xfId="2" applyNumberFormat="1" applyBorder="1" applyAlignment="1" applyProtection="1">
      <alignment horizontal="center" vertical="center" wrapText="1"/>
      <protection locked="0"/>
    </xf>
    <xf numFmtId="14" fontId="5" fillId="0" borderId="11" xfId="2" applyNumberFormat="1" applyBorder="1" applyAlignment="1" applyProtection="1">
      <alignment horizontal="center" vertical="center"/>
      <protection locked="0"/>
    </xf>
    <xf numFmtId="0" fontId="5" fillId="2" borderId="0" xfId="2" applyFill="1" applyBorder="1" applyAlignment="1" applyProtection="1">
      <alignment horizontal="left" vertical="center" wrapText="1"/>
      <protection locked="0"/>
    </xf>
    <xf numFmtId="0" fontId="5" fillId="0" borderId="13" xfId="2" quotePrefix="1" applyBorder="1" applyAlignment="1" applyProtection="1">
      <alignment horizontal="center" vertical="center" wrapText="1"/>
      <protection locked="0"/>
    </xf>
    <xf numFmtId="0" fontId="15" fillId="0" borderId="13" xfId="2" quotePrefix="1" applyFont="1" applyBorder="1" applyAlignment="1" applyProtection="1">
      <alignment horizontal="center" vertical="center" wrapText="1"/>
      <protection locked="0"/>
    </xf>
    <xf numFmtId="0" fontId="15" fillId="0" borderId="19" xfId="2" quotePrefix="1" applyFont="1" applyBorder="1" applyAlignment="1" applyProtection="1">
      <alignment horizontal="center" vertical="center" wrapText="1"/>
      <protection locked="0"/>
    </xf>
    <xf numFmtId="0" fontId="15" fillId="0" borderId="15" xfId="2" quotePrefix="1" applyFont="1" applyBorder="1" applyAlignment="1" applyProtection="1">
      <alignment horizontal="center" vertical="center" wrapText="1"/>
      <protection locked="0"/>
    </xf>
    <xf numFmtId="0" fontId="5" fillId="0" borderId="10" xfId="2" applyBorder="1" applyAlignment="1" applyProtection="1">
      <alignment horizontal="center" vertical="center"/>
      <protection locked="0"/>
    </xf>
    <xf numFmtId="0" fontId="6" fillId="3" borderId="12" xfId="2" applyFont="1" applyFill="1" applyBorder="1" applyAlignment="1" applyProtection="1">
      <alignment horizontal="center"/>
      <protection locked="0"/>
    </xf>
    <xf numFmtId="0" fontId="6" fillId="3" borderId="9" xfId="2" applyFont="1" applyFill="1" applyBorder="1" applyAlignment="1" applyProtection="1">
      <alignment horizontal="center"/>
      <protection locked="0"/>
    </xf>
    <xf numFmtId="0" fontId="6" fillId="2" borderId="2" xfId="2" applyFont="1" applyFill="1" applyBorder="1" applyAlignment="1" applyProtection="1">
      <alignment horizontal="center" vertical="center"/>
      <protection locked="0"/>
    </xf>
    <xf numFmtId="0" fontId="6" fillId="2" borderId="5" xfId="2" applyFont="1" applyFill="1" applyBorder="1" applyAlignment="1" applyProtection="1">
      <alignment horizontal="center" vertical="center"/>
      <protection locked="0"/>
    </xf>
    <xf numFmtId="0" fontId="42" fillId="2" borderId="2" xfId="2" applyFont="1" applyFill="1" applyBorder="1" applyAlignment="1" applyProtection="1">
      <alignment horizontal="center" vertical="center"/>
      <protection locked="0"/>
    </xf>
    <xf numFmtId="0" fontId="42" fillId="2" borderId="5" xfId="2" applyFont="1" applyFill="1" applyBorder="1" applyAlignment="1" applyProtection="1">
      <alignment horizontal="center" vertical="center"/>
      <protection locked="0"/>
    </xf>
    <xf numFmtId="165" fontId="5" fillId="4" borderId="1" xfId="19" applyFill="1" applyBorder="1" applyAlignment="1" applyProtection="1">
      <alignment horizontal="left" vertical="center" wrapText="1"/>
      <protection locked="0"/>
    </xf>
    <xf numFmtId="165" fontId="5" fillId="4" borderId="3" xfId="19" applyFill="1" applyBorder="1" applyAlignment="1" applyProtection="1">
      <alignment horizontal="left" vertical="center" wrapText="1"/>
      <protection locked="0"/>
    </xf>
    <xf numFmtId="165" fontId="5" fillId="4" borderId="7" xfId="19" applyFill="1" applyBorder="1" applyAlignment="1" applyProtection="1">
      <alignment horizontal="left" vertical="center" wrapText="1"/>
      <protection locked="0"/>
    </xf>
    <xf numFmtId="165" fontId="5" fillId="4" borderId="8" xfId="19" applyFill="1" applyBorder="1" applyAlignment="1" applyProtection="1">
      <alignment horizontal="left" vertical="center" wrapText="1"/>
      <protection locked="0"/>
    </xf>
    <xf numFmtId="165" fontId="5" fillId="4" borderId="4" xfId="19" applyFill="1" applyBorder="1" applyAlignment="1" applyProtection="1">
      <alignment horizontal="left" vertical="center" wrapText="1"/>
      <protection locked="0"/>
    </xf>
    <xf numFmtId="165" fontId="5" fillId="4" borderId="6" xfId="19" applyFill="1" applyBorder="1" applyAlignment="1" applyProtection="1">
      <alignment horizontal="left" vertical="center" wrapText="1"/>
      <protection locked="0"/>
    </xf>
    <xf numFmtId="165" fontId="6" fillId="3" borderId="11" xfId="19" applyFont="1" applyFill="1" applyBorder="1" applyAlignment="1" applyProtection="1">
      <alignment horizontal="center" wrapText="1"/>
      <protection locked="0"/>
    </xf>
    <xf numFmtId="0" fontId="0" fillId="4" borderId="11" xfId="0" applyFill="1" applyBorder="1" applyAlignment="1">
      <alignment horizontal="left" vertical="top" wrapText="1"/>
    </xf>
    <xf numFmtId="0" fontId="0" fillId="0" borderId="11" xfId="0" applyBorder="1" applyAlignment="1">
      <alignment horizontal="center" vertical="top" wrapText="1"/>
    </xf>
    <xf numFmtId="0" fontId="5" fillId="4" borderId="13" xfId="0" applyFont="1" applyFill="1" applyBorder="1" applyAlignment="1">
      <alignment horizontal="center" vertical="top" wrapText="1"/>
    </xf>
    <xf numFmtId="0" fontId="5" fillId="4" borderId="19" xfId="0" applyFont="1" applyFill="1" applyBorder="1" applyAlignment="1">
      <alignment horizontal="center" vertical="top" wrapText="1"/>
    </xf>
    <xf numFmtId="0" fontId="5" fillId="4" borderId="15" xfId="0" applyFont="1" applyFill="1" applyBorder="1" applyAlignment="1">
      <alignment horizontal="center" vertical="top" wrapText="1"/>
    </xf>
    <xf numFmtId="165" fontId="5" fillId="0" borderId="11" xfId="19" applyBorder="1" applyAlignment="1" applyProtection="1">
      <alignment horizontal="center" vertical="top" wrapText="1"/>
      <protection locked="0"/>
    </xf>
    <xf numFmtId="165" fontId="6" fillId="3" borderId="12" xfId="19" applyFont="1" applyFill="1" applyBorder="1" applyAlignment="1" applyProtection="1">
      <alignment horizontal="center" wrapText="1"/>
      <protection locked="0"/>
    </xf>
    <xf numFmtId="14" fontId="0" fillId="4" borderId="11" xfId="0" applyNumberFormat="1" applyFill="1" applyBorder="1" applyAlignment="1">
      <alignment horizontal="left" vertical="top" wrapText="1"/>
    </xf>
    <xf numFmtId="0" fontId="5" fillId="0" borderId="13" xfId="0" applyFont="1" applyFill="1" applyBorder="1" applyAlignment="1">
      <alignment horizontal="center" vertical="top" wrapText="1"/>
    </xf>
    <xf numFmtId="0" fontId="5" fillId="0" borderId="19" xfId="0" applyFont="1" applyFill="1" applyBorder="1" applyAlignment="1">
      <alignment horizontal="center" vertical="top" wrapText="1"/>
    </xf>
    <xf numFmtId="0" fontId="5" fillId="0" borderId="15" xfId="0" applyFont="1" applyFill="1" applyBorder="1" applyAlignment="1">
      <alignment horizontal="center" vertical="top" wrapText="1"/>
    </xf>
    <xf numFmtId="0" fontId="0" fillId="0" borderId="11" xfId="0" applyFill="1" applyBorder="1" applyAlignment="1">
      <alignment horizontal="left" vertical="top" wrapText="1"/>
    </xf>
    <xf numFmtId="14" fontId="0" fillId="0" borderId="11" xfId="0" applyNumberFormat="1" applyFill="1" applyBorder="1" applyAlignment="1">
      <alignment horizontal="left" vertical="top" wrapText="1"/>
    </xf>
    <xf numFmtId="0" fontId="0" fillId="0" borderId="11" xfId="0" applyFill="1" applyBorder="1" applyAlignment="1">
      <alignment horizontal="center" vertical="top" wrapText="1"/>
    </xf>
    <xf numFmtId="165" fontId="5" fillId="0" borderId="13" xfId="19" applyBorder="1" applyAlignment="1" applyProtection="1">
      <alignment horizontal="center" vertical="top" wrapText="1"/>
      <protection locked="0"/>
    </xf>
    <xf numFmtId="165" fontId="5" fillId="0" borderId="19" xfId="19" applyBorder="1" applyAlignment="1" applyProtection="1">
      <alignment horizontal="center" vertical="top" wrapText="1"/>
      <protection locked="0"/>
    </xf>
    <xf numFmtId="165" fontId="5" fillId="0" borderId="15" xfId="19" applyBorder="1" applyAlignment="1" applyProtection="1">
      <alignment horizontal="center" vertical="top" wrapText="1"/>
      <protection locked="0"/>
    </xf>
    <xf numFmtId="0" fontId="0" fillId="4" borderId="11" xfId="0" applyFill="1" applyBorder="1" applyAlignment="1">
      <alignment horizontal="center" vertical="top" wrapText="1"/>
    </xf>
    <xf numFmtId="165" fontId="5" fillId="4" borderId="13" xfId="19" applyFill="1" applyBorder="1" applyAlignment="1" applyProtection="1">
      <alignment horizontal="center" vertical="top" wrapText="1"/>
      <protection locked="0"/>
    </xf>
    <xf numFmtId="165" fontId="5" fillId="4" borderId="19" xfId="19" applyFill="1" applyBorder="1" applyAlignment="1" applyProtection="1">
      <alignment horizontal="center" vertical="top" wrapText="1"/>
      <protection locked="0"/>
    </xf>
    <xf numFmtId="165" fontId="5" fillId="4" borderId="15" xfId="19" applyFill="1" applyBorder="1" applyAlignment="1" applyProtection="1">
      <alignment horizontal="center" vertical="top" wrapText="1"/>
      <protection locked="0"/>
    </xf>
  </cellXfs>
  <cellStyles count="23">
    <cellStyle name="Currency" xfId="1" builtinId="4"/>
    <cellStyle name="Hyperlink" xfId="22" builtinId="8"/>
    <cellStyle name="Normal" xfId="0" builtinId="0"/>
    <cellStyle name="Normal 2" xfId="8"/>
    <cellStyle name="Normal 2 2" xfId="3"/>
    <cellStyle name="Normal 2 2 6" xfId="9"/>
    <cellStyle name="Normal 2 2 6 2" xfId="14"/>
    <cellStyle name="Normal 3" xfId="4"/>
    <cellStyle name="Normal 3 2" xfId="2"/>
    <cellStyle name="Normal 3 2 15 2" xfId="7"/>
    <cellStyle name="Normal 3 2 15 2 2" xfId="19"/>
    <cellStyle name="Normal 3 2 18" xfId="15"/>
    <cellStyle name="Normal 3 2 2 9 3" xfId="17"/>
    <cellStyle name="Normal 3 2 2 9 3 2" xfId="20"/>
    <cellStyle name="Normal 3 4" xfId="5"/>
    <cellStyle name="Normal 38 3 5 2" xfId="16"/>
    <cellStyle name="Normal 38 3 9" xfId="13"/>
    <cellStyle name="Normal 38 3 9 3" xfId="21"/>
    <cellStyle name="Normal 4 2 2" xfId="6"/>
    <cellStyle name="Normal 4 3" xfId="11"/>
    <cellStyle name="Normal 4 3 2 2" xfId="12"/>
    <cellStyle name="Normal 48 2" xfId="18"/>
    <cellStyle name="Normal_Fixed Assets" xfId="10"/>
  </cellStyles>
  <dxfs count="31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theme="0" tint="-0.14996795556505021"/>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drawings/_rels/drawing4.xml.rels><?xml version="1.0" encoding="UTF-8" standalone="yes"?>
<Relationships xmlns="http://schemas.openxmlformats.org/package/2006/relationships"><Relationship Id="rId3" Type="http://schemas.openxmlformats.org/officeDocument/2006/relationships/image" Target="../media/image12.tiff"/><Relationship Id="rId2" Type="http://schemas.openxmlformats.org/officeDocument/2006/relationships/image" Target="../media/image11.tiff"/><Relationship Id="rId1" Type="http://schemas.openxmlformats.org/officeDocument/2006/relationships/image" Target="../media/image10.tiff"/><Relationship Id="rId4" Type="http://schemas.openxmlformats.org/officeDocument/2006/relationships/image" Target="../media/image13.tif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114300</xdr:rowOff>
        </xdr:from>
        <xdr:to>
          <xdr:col>1</xdr:col>
          <xdr:colOff>1819275</xdr:colOff>
          <xdr:row>3</xdr:row>
          <xdr:rowOff>85725</xdr:rowOff>
        </xdr:to>
        <xdr:sp macro="" textlink="">
          <xdr:nvSpPr>
            <xdr:cNvPr id="2052" name="NarrBtn" hidden="1">
              <a:extLst>
                <a:ext uri="{63B3BB69-23CF-44E3-9099-C40C66FF867C}">
                  <a14:compatExt spid="_x0000_s2052"/>
                </a:ext>
                <a:ext uri="{FF2B5EF4-FFF2-40B4-BE49-F238E27FC236}">
                  <a16:creationId xmlns=""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xdr:row>
          <xdr:rowOff>114300</xdr:rowOff>
        </xdr:from>
        <xdr:to>
          <xdr:col>1</xdr:col>
          <xdr:colOff>1809750</xdr:colOff>
          <xdr:row>5</xdr:row>
          <xdr:rowOff>85725</xdr:rowOff>
        </xdr:to>
        <xdr:sp macro="" textlink="">
          <xdr:nvSpPr>
            <xdr:cNvPr id="2053" name="RcmBtn" hidden="1">
              <a:extLst>
                <a:ext uri="{63B3BB69-23CF-44E3-9099-C40C66FF867C}">
                  <a14:compatExt spid="_x0000_s2053"/>
                </a:ext>
                <a:ext uri="{FF2B5EF4-FFF2-40B4-BE49-F238E27FC236}">
                  <a16:creationId xmlns=""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5</xdr:row>
          <xdr:rowOff>114300</xdr:rowOff>
        </xdr:from>
        <xdr:to>
          <xdr:col>1</xdr:col>
          <xdr:colOff>1809750</xdr:colOff>
          <xdr:row>7</xdr:row>
          <xdr:rowOff>85725</xdr:rowOff>
        </xdr:to>
        <xdr:sp macro="" textlink="">
          <xdr:nvSpPr>
            <xdr:cNvPr id="2054" name="FlowBtn" hidden="1">
              <a:extLst>
                <a:ext uri="{63B3BB69-23CF-44E3-9099-C40C66FF867C}">
                  <a14:compatExt spid="_x0000_s2054"/>
                </a:ext>
                <a:ext uri="{FF2B5EF4-FFF2-40B4-BE49-F238E27FC236}">
                  <a16:creationId xmlns=""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xdr:row>
          <xdr:rowOff>133350</xdr:rowOff>
        </xdr:from>
        <xdr:to>
          <xdr:col>1</xdr:col>
          <xdr:colOff>1819275</xdr:colOff>
          <xdr:row>9</xdr:row>
          <xdr:rowOff>104775</xdr:rowOff>
        </xdr:to>
        <xdr:sp macro="" textlink="">
          <xdr:nvSpPr>
            <xdr:cNvPr id="2055" name="WalkBtn" hidden="1">
              <a:extLst>
                <a:ext uri="{63B3BB69-23CF-44E3-9099-C40C66FF867C}">
                  <a14:compatExt spid="_x0000_s2055"/>
                </a:ext>
                <a:ext uri="{FF2B5EF4-FFF2-40B4-BE49-F238E27FC236}">
                  <a16:creationId xmlns="" xmlns:a16="http://schemas.microsoft.com/office/drawing/2014/main"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9</xdr:row>
          <xdr:rowOff>133350</xdr:rowOff>
        </xdr:from>
        <xdr:to>
          <xdr:col>1</xdr:col>
          <xdr:colOff>1819275</xdr:colOff>
          <xdr:row>11</xdr:row>
          <xdr:rowOff>104775</xdr:rowOff>
        </xdr:to>
        <xdr:sp macro="" textlink="">
          <xdr:nvSpPr>
            <xdr:cNvPr id="2056" name="WorkBtn" hidden="1">
              <a:extLst>
                <a:ext uri="{63B3BB69-23CF-44E3-9099-C40C66FF867C}">
                  <a14:compatExt spid="_x0000_s2056"/>
                </a:ext>
                <a:ext uri="{FF2B5EF4-FFF2-40B4-BE49-F238E27FC236}">
                  <a16:creationId xmlns=""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11</xdr:row>
          <xdr:rowOff>133350</xdr:rowOff>
        </xdr:from>
        <xdr:to>
          <xdr:col>1</xdr:col>
          <xdr:colOff>1819275</xdr:colOff>
          <xdr:row>13</xdr:row>
          <xdr:rowOff>104775</xdr:rowOff>
        </xdr:to>
        <xdr:sp macro="" textlink="">
          <xdr:nvSpPr>
            <xdr:cNvPr id="2057" name="CommandButton1" hidden="1">
              <a:extLst>
                <a:ext uri="{63B3BB69-23CF-44E3-9099-C40C66FF867C}">
                  <a14:compatExt spid="_x0000_s2057"/>
                </a:ext>
                <a:ext uri="{FF2B5EF4-FFF2-40B4-BE49-F238E27FC236}">
                  <a16:creationId xmlns="" xmlns:a16="http://schemas.microsoft.com/office/drawing/2014/main" id="{00000000-0008-0000-00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1</xdr:row>
          <xdr:rowOff>123825</xdr:rowOff>
        </xdr:to>
        <xdr:sp macro="" textlink="">
          <xdr:nvSpPr>
            <xdr:cNvPr id="6145" name="backMenuBtn" hidden="1">
              <a:extLst>
                <a:ext uri="{63B3BB69-23CF-44E3-9099-C40C66FF867C}">
                  <a14:compatExt spid="_x0000_s6145"/>
                </a:ext>
                <a:ext uri="{FF2B5EF4-FFF2-40B4-BE49-F238E27FC236}">
                  <a16:creationId xmlns=""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476250</xdr:colOff>
          <xdr:row>1</xdr:row>
          <xdr:rowOff>123825</xdr:rowOff>
        </xdr:to>
        <xdr:sp macro="" textlink="">
          <xdr:nvSpPr>
            <xdr:cNvPr id="5123" name="backMenuBtn" hidden="1">
              <a:extLst>
                <a:ext uri="{63B3BB69-23CF-44E3-9099-C40C66FF867C}">
                  <a14:compatExt spid="_x0000_s5123"/>
                </a:ext>
                <a:ext uri="{FF2B5EF4-FFF2-40B4-BE49-F238E27FC236}">
                  <a16:creationId xmlns="" xmlns:a16="http://schemas.microsoft.com/office/drawing/2014/main" id="{00000000-0008-0000-02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304798</xdr:colOff>
      <xdr:row>4</xdr:row>
      <xdr:rowOff>0</xdr:rowOff>
    </xdr:from>
    <xdr:to>
      <xdr:col>3</xdr:col>
      <xdr:colOff>580732</xdr:colOff>
      <xdr:row>4</xdr:row>
      <xdr:rowOff>0</xdr:rowOff>
    </xdr:to>
    <xdr:pic>
      <xdr:nvPicPr>
        <xdr:cNvPr id="2" name="Picture 1">
          <a:extLst>
            <a:ext uri="{FF2B5EF4-FFF2-40B4-BE49-F238E27FC236}">
              <a16:creationId xmlns=""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rot="19756698">
          <a:off x="6524623" y="390525"/>
          <a:ext cx="275934" cy="0"/>
        </a:xfrm>
        <a:prstGeom prst="rect">
          <a:avLst/>
        </a:prstGeom>
        <a:noFill/>
      </xdr:spPr>
    </xdr:pic>
    <xdr:clientData/>
  </xdr:twoCellAnchor>
  <xdr:twoCellAnchor>
    <xdr:from>
      <xdr:col>2</xdr:col>
      <xdr:colOff>262638</xdr:colOff>
      <xdr:row>7</xdr:row>
      <xdr:rowOff>1007631</xdr:rowOff>
    </xdr:from>
    <xdr:to>
      <xdr:col>2</xdr:col>
      <xdr:colOff>411690</xdr:colOff>
      <xdr:row>7</xdr:row>
      <xdr:rowOff>1127954</xdr:rowOff>
    </xdr:to>
    <xdr:sp macro="" textlink="">
      <xdr:nvSpPr>
        <xdr:cNvPr id="3" name="TextBox 2">
          <a:extLst>
            <a:ext uri="{FF2B5EF4-FFF2-40B4-BE49-F238E27FC236}">
              <a16:creationId xmlns="" xmlns:a16="http://schemas.microsoft.com/office/drawing/2014/main" id="{00000000-0008-0000-0400-000003000000}"/>
            </a:ext>
          </a:extLst>
        </xdr:cNvPr>
        <xdr:cNvSpPr txBox="1"/>
      </xdr:nvSpPr>
      <xdr:spPr>
        <a:xfrm>
          <a:off x="3777363" y="7284606"/>
          <a:ext cx="149052" cy="120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endParaRPr lang="en-PH" sz="1100" b="1">
            <a:solidFill>
              <a:srgbClr val="FF0000"/>
            </a:solidFill>
            <a:latin typeface="Arial" charset="0"/>
            <a:ea typeface="Arial" charset="0"/>
            <a:cs typeface="Arial" charset="0"/>
          </a:endParaRPr>
        </a:p>
      </xdr:txBody>
    </xdr:sp>
    <xdr:clientData/>
  </xdr:twoCellAnchor>
  <xdr:twoCellAnchor>
    <xdr:from>
      <xdr:col>2</xdr:col>
      <xdr:colOff>262638</xdr:colOff>
      <xdr:row>4</xdr:row>
      <xdr:rowOff>1007631</xdr:rowOff>
    </xdr:from>
    <xdr:to>
      <xdr:col>2</xdr:col>
      <xdr:colOff>411690</xdr:colOff>
      <xdr:row>4</xdr:row>
      <xdr:rowOff>1127954</xdr:rowOff>
    </xdr:to>
    <xdr:sp macro="" textlink="">
      <xdr:nvSpPr>
        <xdr:cNvPr id="4" name="TextBox 3">
          <a:extLst>
            <a:ext uri="{FF2B5EF4-FFF2-40B4-BE49-F238E27FC236}">
              <a16:creationId xmlns="" xmlns:a16="http://schemas.microsoft.com/office/drawing/2014/main" id="{00000000-0008-0000-0400-000004000000}"/>
            </a:ext>
          </a:extLst>
        </xdr:cNvPr>
        <xdr:cNvSpPr txBox="1"/>
      </xdr:nvSpPr>
      <xdr:spPr>
        <a:xfrm>
          <a:off x="3777363" y="1398156"/>
          <a:ext cx="149052" cy="120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endParaRPr lang="en-PH" sz="1100" b="1">
            <a:solidFill>
              <a:srgbClr val="FF0000"/>
            </a:solidFill>
            <a:latin typeface="Arial" charset="0"/>
            <a:ea typeface="Arial" charset="0"/>
            <a:cs typeface="Arial" charset="0"/>
          </a:endParaRPr>
        </a:p>
      </xdr:txBody>
    </xdr:sp>
    <xdr:clientData/>
  </xdr:twoCellAnchor>
  <xdr:twoCellAnchor>
    <xdr:from>
      <xdr:col>4</xdr:col>
      <xdr:colOff>666361</xdr:colOff>
      <xdr:row>5</xdr:row>
      <xdr:rowOff>313137</xdr:rowOff>
    </xdr:from>
    <xdr:to>
      <xdr:col>4</xdr:col>
      <xdr:colOff>2586601</xdr:colOff>
      <xdr:row>5</xdr:row>
      <xdr:rowOff>1684737</xdr:rowOff>
    </xdr:to>
    <xdr:sp macro="" textlink="">
      <xdr:nvSpPr>
        <xdr:cNvPr id="5" name="Rectangle 4">
          <a:extLst>
            <a:ext uri="{FF2B5EF4-FFF2-40B4-BE49-F238E27FC236}">
              <a16:creationId xmlns="" xmlns:a16="http://schemas.microsoft.com/office/drawing/2014/main" id="{00000000-0008-0000-0400-000005000000}"/>
            </a:ext>
          </a:extLst>
        </xdr:cNvPr>
        <xdr:cNvSpPr/>
      </xdr:nvSpPr>
      <xdr:spPr>
        <a:xfrm>
          <a:off x="9591286" y="2665812"/>
          <a:ext cx="1920240" cy="1371600"/>
        </a:xfrm>
        <a:prstGeom prst="rect">
          <a:avLst/>
        </a:prstGeom>
        <a:noFill/>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Arial" charset="0"/>
              <a:ea typeface="Arial" charset="0"/>
              <a:cs typeface="Arial" charset="0"/>
            </a:rPr>
            <a:t>Prepare</a:t>
          </a:r>
          <a:r>
            <a:rPr lang="en-US" sz="1100" baseline="0">
              <a:latin typeface="Arial" charset="0"/>
              <a:ea typeface="Arial" charset="0"/>
              <a:cs typeface="Arial" charset="0"/>
            </a:rPr>
            <a:t> accruals (non-materials)</a:t>
          </a:r>
          <a:endParaRPr lang="en-US" sz="1100" baseline="0">
            <a:solidFill>
              <a:srgbClr val="FF0000"/>
            </a:solidFill>
            <a:latin typeface="Arial" charset="0"/>
            <a:ea typeface="Arial" charset="0"/>
            <a:cs typeface="Arial" charset="0"/>
          </a:endParaRPr>
        </a:p>
      </xdr:txBody>
    </xdr:sp>
    <xdr:clientData/>
  </xdr:twoCellAnchor>
  <xdr:twoCellAnchor>
    <xdr:from>
      <xdr:col>2</xdr:col>
      <xdr:colOff>344803</xdr:colOff>
      <xdr:row>4</xdr:row>
      <xdr:rowOff>294059</xdr:rowOff>
    </xdr:from>
    <xdr:to>
      <xdr:col>2</xdr:col>
      <xdr:colOff>2265043</xdr:colOff>
      <xdr:row>4</xdr:row>
      <xdr:rowOff>1665659</xdr:rowOff>
    </xdr:to>
    <xdr:sp macro="" textlink="">
      <xdr:nvSpPr>
        <xdr:cNvPr id="6" name="Rectangle 5">
          <a:extLst>
            <a:ext uri="{FF2B5EF4-FFF2-40B4-BE49-F238E27FC236}">
              <a16:creationId xmlns="" xmlns:a16="http://schemas.microsoft.com/office/drawing/2014/main" id="{00000000-0008-0000-0400-000006000000}"/>
            </a:ext>
          </a:extLst>
        </xdr:cNvPr>
        <xdr:cNvSpPr/>
      </xdr:nvSpPr>
      <xdr:spPr>
        <a:xfrm>
          <a:off x="3859528" y="684584"/>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latin typeface="Arial" panose="020B0604020202020204" pitchFamily="34" charset="0"/>
              <a:ea typeface="Arial" charset="0"/>
              <a:cs typeface="Arial" panose="020B0604020202020204" pitchFamily="34" charset="0"/>
            </a:rPr>
            <a:t>Enter all approved invoices in QAD</a:t>
          </a:r>
          <a:endParaRPr lang="en-US" sz="1100" baseline="0">
            <a:solidFill>
              <a:sysClr val="windowText" lastClr="000000"/>
            </a:solidFill>
            <a:latin typeface="Arial" panose="020B0604020202020204" pitchFamily="34" charset="0"/>
            <a:ea typeface="Arial" charset="0"/>
            <a:cs typeface="Arial" panose="020B0604020202020204" pitchFamily="34" charset="0"/>
          </a:endParaRPr>
        </a:p>
      </xdr:txBody>
    </xdr:sp>
    <xdr:clientData/>
  </xdr:twoCellAnchor>
  <xdr:twoCellAnchor>
    <xdr:from>
      <xdr:col>8</xdr:col>
      <xdr:colOff>718114</xdr:colOff>
      <xdr:row>9</xdr:row>
      <xdr:rowOff>3534419</xdr:rowOff>
    </xdr:from>
    <xdr:to>
      <xdr:col>8</xdr:col>
      <xdr:colOff>2638354</xdr:colOff>
      <xdr:row>9</xdr:row>
      <xdr:rowOff>4906019</xdr:rowOff>
    </xdr:to>
    <xdr:sp macro="" textlink="">
      <xdr:nvSpPr>
        <xdr:cNvPr id="7" name="Rectangle 6">
          <a:extLst>
            <a:ext uri="{FF2B5EF4-FFF2-40B4-BE49-F238E27FC236}">
              <a16:creationId xmlns="" xmlns:a16="http://schemas.microsoft.com/office/drawing/2014/main" id="{00000000-0008-0000-0400-000007000000}"/>
            </a:ext>
          </a:extLst>
        </xdr:cNvPr>
        <xdr:cNvSpPr/>
      </xdr:nvSpPr>
      <xdr:spPr>
        <a:xfrm>
          <a:off x="20463439" y="12164069"/>
          <a:ext cx="1920240" cy="0"/>
        </a:xfrm>
        <a:prstGeom prst="rect">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Arial" charset="0"/>
              <a:ea typeface="Arial" charset="0"/>
              <a:cs typeface="Arial" charset="0"/>
            </a:rPr>
            <a:t>Review Subsequent Invoice Log</a:t>
          </a:r>
          <a:endParaRPr lang="en-US" sz="1100" baseline="0">
            <a:latin typeface="Arial" charset="0"/>
            <a:ea typeface="Arial" charset="0"/>
            <a:cs typeface="Arial" charset="0"/>
          </a:endParaRPr>
        </a:p>
      </xdr:txBody>
    </xdr:sp>
    <xdr:clientData/>
  </xdr:twoCellAnchor>
  <xdr:twoCellAnchor>
    <xdr:from>
      <xdr:col>8</xdr:col>
      <xdr:colOff>953174</xdr:colOff>
      <xdr:row>8</xdr:row>
      <xdr:rowOff>1732467</xdr:rowOff>
    </xdr:from>
    <xdr:to>
      <xdr:col>8</xdr:col>
      <xdr:colOff>953174</xdr:colOff>
      <xdr:row>9</xdr:row>
      <xdr:rowOff>282738</xdr:rowOff>
    </xdr:to>
    <xdr:cxnSp macro="">
      <xdr:nvCxnSpPr>
        <xdr:cNvPr id="8" name="Straight Arrow Connector 7">
          <a:extLst>
            <a:ext uri="{FF2B5EF4-FFF2-40B4-BE49-F238E27FC236}">
              <a16:creationId xmlns="" xmlns:a16="http://schemas.microsoft.com/office/drawing/2014/main" id="{00000000-0008-0000-0400-000008000000}"/>
            </a:ext>
          </a:extLst>
        </xdr:cNvPr>
        <xdr:cNvCxnSpPr>
          <a:stCxn id="14" idx="2"/>
          <a:endCxn id="75" idx="0"/>
        </xdr:cNvCxnSpPr>
      </xdr:nvCxnSpPr>
      <xdr:spPr>
        <a:xfrm>
          <a:off x="20698499" y="9971592"/>
          <a:ext cx="0" cy="512421"/>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1626481</xdr:colOff>
      <xdr:row>4</xdr:row>
      <xdr:rowOff>1665659</xdr:rowOff>
    </xdr:from>
    <xdr:to>
      <xdr:col>4</xdr:col>
      <xdr:colOff>1626481</xdr:colOff>
      <xdr:row>5</xdr:row>
      <xdr:rowOff>313137</xdr:rowOff>
    </xdr:to>
    <xdr:cxnSp macro="">
      <xdr:nvCxnSpPr>
        <xdr:cNvPr id="9" name="Straight Arrow Connector 8">
          <a:extLst>
            <a:ext uri="{FF2B5EF4-FFF2-40B4-BE49-F238E27FC236}">
              <a16:creationId xmlns="" xmlns:a16="http://schemas.microsoft.com/office/drawing/2014/main" id="{00000000-0008-0000-0400-000009000000}"/>
            </a:ext>
          </a:extLst>
        </xdr:cNvPr>
        <xdr:cNvCxnSpPr>
          <a:stCxn id="69" idx="2"/>
          <a:endCxn id="5" idx="0"/>
        </xdr:cNvCxnSpPr>
      </xdr:nvCxnSpPr>
      <xdr:spPr>
        <a:xfrm>
          <a:off x="10551406" y="2056184"/>
          <a:ext cx="0" cy="609628"/>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10</xdr:col>
      <xdr:colOff>502491</xdr:colOff>
      <xdr:row>9</xdr:row>
      <xdr:rowOff>2194407</xdr:rowOff>
    </xdr:from>
    <xdr:to>
      <xdr:col>10</xdr:col>
      <xdr:colOff>2422731</xdr:colOff>
      <xdr:row>9</xdr:row>
      <xdr:rowOff>3566007</xdr:rowOff>
    </xdr:to>
    <xdr:sp macro="" textlink="">
      <xdr:nvSpPr>
        <xdr:cNvPr id="10" name="Rectangle 9">
          <a:extLst>
            <a:ext uri="{FF2B5EF4-FFF2-40B4-BE49-F238E27FC236}">
              <a16:creationId xmlns="" xmlns:a16="http://schemas.microsoft.com/office/drawing/2014/main" id="{00000000-0008-0000-0400-00000A000000}"/>
            </a:ext>
          </a:extLst>
        </xdr:cNvPr>
        <xdr:cNvSpPr/>
      </xdr:nvSpPr>
      <xdr:spPr>
        <a:xfrm>
          <a:off x="25658016" y="12167082"/>
          <a:ext cx="1920240" cy="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ysClr val="windowText" lastClr="000000"/>
              </a:solidFill>
              <a:latin typeface="Arial" charset="0"/>
              <a:ea typeface="Arial" charset="0"/>
              <a:cs typeface="Arial" charset="0"/>
            </a:rPr>
            <a:t>Quarterly,</a:t>
          </a:r>
          <a:r>
            <a:rPr lang="en-US" sz="1100" baseline="0">
              <a:solidFill>
                <a:sysClr val="windowText" lastClr="000000"/>
              </a:solidFill>
              <a:latin typeface="Arial" charset="0"/>
              <a:ea typeface="Arial" charset="0"/>
              <a:cs typeface="Arial" charset="0"/>
            </a:rPr>
            <a:t> review MEC checklist to confirm completion of monthly JE and reconciliation</a:t>
          </a:r>
        </a:p>
      </xdr:txBody>
    </xdr:sp>
    <xdr:clientData/>
  </xdr:twoCellAnchor>
  <xdr:twoCellAnchor>
    <xdr:from>
      <xdr:col>5</xdr:col>
      <xdr:colOff>438509</xdr:colOff>
      <xdr:row>13</xdr:row>
      <xdr:rowOff>0</xdr:rowOff>
    </xdr:from>
    <xdr:to>
      <xdr:col>6</xdr:col>
      <xdr:colOff>96308</xdr:colOff>
      <xdr:row>13</xdr:row>
      <xdr:rowOff>0</xdr:rowOff>
    </xdr:to>
    <xdr:pic>
      <xdr:nvPicPr>
        <xdr:cNvPr id="11" name="Picture 10">
          <a:extLst>
            <a:ext uri="{FF2B5EF4-FFF2-40B4-BE49-F238E27FC236}">
              <a16:creationId xmlns="" xmlns:a16="http://schemas.microsoft.com/office/drawing/2014/main" id="{00000000-0008-0000-0400-00000B000000}"/>
            </a:ext>
          </a:extLst>
        </xdr:cNvPr>
        <xdr:cNvPicPr preferRelativeResize="0">
          <a:picLocks/>
        </xdr:cNvPicPr>
      </xdr:nvPicPr>
      <xdr:blipFill>
        <a:blip xmlns:r="http://schemas.openxmlformats.org/officeDocument/2006/relationships" r:embed="rId2" cstate="print"/>
        <a:stretch>
          <a:fillRect/>
        </a:stretch>
      </xdr:blipFill>
      <xdr:spPr>
        <a:xfrm rot="19756698">
          <a:off x="12068534" y="18049875"/>
          <a:ext cx="2362899" cy="0"/>
        </a:xfrm>
        <a:prstGeom prst="rect">
          <a:avLst/>
        </a:prstGeom>
        <a:noFill/>
      </xdr:spPr>
    </xdr:pic>
    <xdr:clientData/>
  </xdr:twoCellAnchor>
  <xdr:twoCellAnchor>
    <xdr:from>
      <xdr:col>7</xdr:col>
      <xdr:colOff>2833957</xdr:colOff>
      <xdr:row>6</xdr:row>
      <xdr:rowOff>359512</xdr:rowOff>
    </xdr:from>
    <xdr:to>
      <xdr:col>8</xdr:col>
      <xdr:colOff>1914016</xdr:colOff>
      <xdr:row>6</xdr:row>
      <xdr:rowOff>1731112</xdr:rowOff>
    </xdr:to>
    <xdr:sp macro="" textlink="">
      <xdr:nvSpPr>
        <xdr:cNvPr id="12" name="Rectangle 11">
          <a:extLst>
            <a:ext uri="{FF2B5EF4-FFF2-40B4-BE49-F238E27FC236}">
              <a16:creationId xmlns="" xmlns:a16="http://schemas.microsoft.com/office/drawing/2014/main" id="{00000000-0008-0000-0400-00000C000000}"/>
            </a:ext>
          </a:extLst>
        </xdr:cNvPr>
        <xdr:cNvSpPr/>
      </xdr:nvSpPr>
      <xdr:spPr>
        <a:xfrm>
          <a:off x="19740832" y="4674337"/>
          <a:ext cx="1918509"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Review reconciliation against supporting documents</a:t>
          </a:r>
        </a:p>
        <a:p>
          <a:pPr algn="ctr"/>
          <a:r>
            <a:rPr lang="en-US" sz="1100" baseline="0">
              <a:solidFill>
                <a:sysClr val="windowText" lastClr="000000"/>
              </a:solidFill>
              <a:latin typeface="Arial" charset="0"/>
              <a:ea typeface="Arial" charset="0"/>
              <a:cs typeface="Arial" charset="0"/>
            </a:rPr>
            <a:t>(FCR 4.02)</a:t>
          </a:r>
        </a:p>
      </xdr:txBody>
    </xdr:sp>
    <xdr:clientData/>
  </xdr:twoCellAnchor>
  <xdr:twoCellAnchor>
    <xdr:from>
      <xdr:col>8</xdr:col>
      <xdr:colOff>953174</xdr:colOff>
      <xdr:row>6</xdr:row>
      <xdr:rowOff>1731112</xdr:rowOff>
    </xdr:from>
    <xdr:to>
      <xdr:col>8</xdr:col>
      <xdr:colOff>953174</xdr:colOff>
      <xdr:row>8</xdr:row>
      <xdr:rowOff>360867</xdr:rowOff>
    </xdr:to>
    <xdr:cxnSp macro="">
      <xdr:nvCxnSpPr>
        <xdr:cNvPr id="13" name="Straight Arrow Connector 12">
          <a:extLst>
            <a:ext uri="{FF2B5EF4-FFF2-40B4-BE49-F238E27FC236}">
              <a16:creationId xmlns="" xmlns:a16="http://schemas.microsoft.com/office/drawing/2014/main" id="{00000000-0008-0000-0400-00000D000000}"/>
            </a:ext>
          </a:extLst>
        </xdr:cNvPr>
        <xdr:cNvCxnSpPr>
          <a:stCxn id="12" idx="2"/>
          <a:endCxn id="14" idx="0"/>
        </xdr:cNvCxnSpPr>
      </xdr:nvCxnSpPr>
      <xdr:spPr>
        <a:xfrm>
          <a:off x="20698499" y="6045937"/>
          <a:ext cx="0" cy="2554055"/>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2833957</xdr:colOff>
      <xdr:row>8</xdr:row>
      <xdr:rowOff>360867</xdr:rowOff>
    </xdr:from>
    <xdr:to>
      <xdr:col>8</xdr:col>
      <xdr:colOff>1914016</xdr:colOff>
      <xdr:row>8</xdr:row>
      <xdr:rowOff>1732467</xdr:rowOff>
    </xdr:to>
    <xdr:sp macro="" textlink="">
      <xdr:nvSpPr>
        <xdr:cNvPr id="14" name="Rectangle 13">
          <a:extLst>
            <a:ext uri="{FF2B5EF4-FFF2-40B4-BE49-F238E27FC236}">
              <a16:creationId xmlns="" xmlns:a16="http://schemas.microsoft.com/office/drawing/2014/main" id="{00000000-0008-0000-0400-00000E000000}"/>
            </a:ext>
          </a:extLst>
        </xdr:cNvPr>
        <xdr:cNvSpPr/>
      </xdr:nvSpPr>
      <xdr:spPr>
        <a:xfrm>
          <a:off x="19740832" y="8599992"/>
          <a:ext cx="1918509"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ysClr val="windowText" lastClr="000000"/>
              </a:solidFill>
              <a:latin typeface="Arial" charset="0"/>
              <a:ea typeface="Arial" charset="0"/>
              <a:cs typeface="Arial" charset="0"/>
            </a:rPr>
            <a:t>Review</a:t>
          </a:r>
          <a:r>
            <a:rPr lang="en-US" sz="1100" baseline="0">
              <a:solidFill>
                <a:sysClr val="windowText" lastClr="000000"/>
              </a:solidFill>
              <a:latin typeface="Arial" charset="0"/>
              <a:ea typeface="Arial" charset="0"/>
              <a:cs typeface="Arial" charset="0"/>
            </a:rPr>
            <a:t> QAD JE Listing</a:t>
          </a:r>
        </a:p>
        <a:p>
          <a:pPr algn="ctr"/>
          <a:r>
            <a:rPr lang="en-US" sz="1100" baseline="0">
              <a:solidFill>
                <a:sysClr val="windowText" lastClr="000000"/>
              </a:solidFill>
              <a:latin typeface="Arial" charset="0"/>
              <a:ea typeface="Arial" charset="0"/>
              <a:cs typeface="Arial" charset="0"/>
            </a:rPr>
            <a:t>(FCR 2.09)</a:t>
          </a:r>
        </a:p>
      </xdr:txBody>
    </xdr:sp>
    <xdr:clientData/>
  </xdr:twoCellAnchor>
  <xdr:twoCellAnchor>
    <xdr:from>
      <xdr:col>7</xdr:col>
      <xdr:colOff>2079091</xdr:colOff>
      <xdr:row>9</xdr:row>
      <xdr:rowOff>4906019</xdr:rowOff>
    </xdr:from>
    <xdr:to>
      <xdr:col>8</xdr:col>
      <xdr:colOff>1678234</xdr:colOff>
      <xdr:row>10</xdr:row>
      <xdr:rowOff>0</xdr:rowOff>
    </xdr:to>
    <xdr:cxnSp macro="">
      <xdr:nvCxnSpPr>
        <xdr:cNvPr id="15" name="Elbow Connector 84">
          <a:extLst>
            <a:ext uri="{FF2B5EF4-FFF2-40B4-BE49-F238E27FC236}">
              <a16:creationId xmlns="" xmlns:a16="http://schemas.microsoft.com/office/drawing/2014/main" id="{00000000-0008-0000-0400-00000F000000}"/>
            </a:ext>
          </a:extLst>
        </xdr:cNvPr>
        <xdr:cNvCxnSpPr>
          <a:endCxn id="7" idx="2"/>
        </xdr:cNvCxnSpPr>
      </xdr:nvCxnSpPr>
      <xdr:spPr>
        <a:xfrm flipV="1">
          <a:off x="19119316" y="12164069"/>
          <a:ext cx="2304243" cy="0"/>
        </a:xfrm>
        <a:prstGeom prst="bent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2366199</xdr:colOff>
      <xdr:row>4</xdr:row>
      <xdr:rowOff>2889</xdr:rowOff>
    </xdr:from>
    <xdr:to>
      <xdr:col>15</xdr:col>
      <xdr:colOff>2704695</xdr:colOff>
      <xdr:row>5</xdr:row>
      <xdr:rowOff>764887</xdr:rowOff>
    </xdr:to>
    <xdr:grpSp>
      <xdr:nvGrpSpPr>
        <xdr:cNvPr id="16" name="Group 15">
          <a:extLst>
            <a:ext uri="{FF2B5EF4-FFF2-40B4-BE49-F238E27FC236}">
              <a16:creationId xmlns="" xmlns:a16="http://schemas.microsoft.com/office/drawing/2014/main" id="{00000000-0008-0000-0400-000010000000}"/>
            </a:ext>
          </a:extLst>
        </xdr:cNvPr>
        <xdr:cNvGrpSpPr/>
      </xdr:nvGrpSpPr>
      <xdr:grpSpPr>
        <a:xfrm>
          <a:off x="38301426" y="747571"/>
          <a:ext cx="3040133" cy="2718952"/>
          <a:chOff x="5853604" y="261937"/>
          <a:chExt cx="2266458" cy="2214564"/>
        </a:xfrm>
      </xdr:grpSpPr>
      <xdr:sp macro="" textlink="">
        <xdr:nvSpPr>
          <xdr:cNvPr id="17" name="Rectangle 16">
            <a:extLst>
              <a:ext uri="{FF2B5EF4-FFF2-40B4-BE49-F238E27FC236}">
                <a16:creationId xmlns="" xmlns:a16="http://schemas.microsoft.com/office/drawing/2014/main" id="{00000000-0008-0000-0400-000011000000}"/>
              </a:ext>
            </a:extLst>
          </xdr:cNvPr>
          <xdr:cNvSpPr/>
        </xdr:nvSpPr>
        <xdr:spPr>
          <a:xfrm>
            <a:off x="5853604" y="261937"/>
            <a:ext cx="2266458" cy="2190750"/>
          </a:xfrm>
          <a:prstGeom prst="rect">
            <a:avLst/>
          </a:prstGeom>
          <a:solidFill>
            <a:schemeClr val="bg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rial" charset="0"/>
              <a:ea typeface="Arial" charset="0"/>
              <a:cs typeface="Arial" charset="0"/>
            </a:endParaRPr>
          </a:p>
        </xdr:txBody>
      </xdr:sp>
      <xdr:sp macro="" textlink="">
        <xdr:nvSpPr>
          <xdr:cNvPr id="18" name="TextBox 17">
            <a:extLst>
              <a:ext uri="{FF2B5EF4-FFF2-40B4-BE49-F238E27FC236}">
                <a16:creationId xmlns="" xmlns:a16="http://schemas.microsoft.com/office/drawing/2014/main" id="{00000000-0008-0000-0400-000012000000}"/>
              </a:ext>
            </a:extLst>
          </xdr:cNvPr>
          <xdr:cNvSpPr txBox="1"/>
        </xdr:nvSpPr>
        <xdr:spPr>
          <a:xfrm>
            <a:off x="6774656" y="547687"/>
            <a:ext cx="1273969" cy="1928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100">
                <a:latin typeface="Arial" charset="0"/>
                <a:ea typeface="Arial" charset="0"/>
                <a:cs typeface="Arial" charset="0"/>
              </a:rPr>
              <a:t>Key control</a:t>
            </a:r>
          </a:p>
          <a:p>
            <a:endParaRPr lang="en-US" sz="1200">
              <a:latin typeface="Arial" charset="0"/>
              <a:ea typeface="Arial" charset="0"/>
              <a:cs typeface="Arial" charset="0"/>
            </a:endParaRPr>
          </a:p>
          <a:p>
            <a:r>
              <a:rPr lang="en-US" sz="1100">
                <a:latin typeface="Arial" charset="0"/>
                <a:ea typeface="Arial" charset="0"/>
                <a:cs typeface="Arial" charset="0"/>
              </a:rPr>
              <a:t>Process</a:t>
            </a:r>
          </a:p>
          <a:p>
            <a:endParaRPr lang="en-US" sz="1100">
              <a:latin typeface="Arial" charset="0"/>
              <a:ea typeface="Arial" charset="0"/>
              <a:cs typeface="Arial" charset="0"/>
            </a:endParaRPr>
          </a:p>
          <a:p>
            <a:r>
              <a:rPr lang="en-US" sz="1100">
                <a:latin typeface="Arial" charset="0"/>
                <a:ea typeface="Arial" charset="0"/>
                <a:cs typeface="Arial" charset="0"/>
              </a:rPr>
              <a:t>System</a:t>
            </a:r>
          </a:p>
          <a:p>
            <a:endParaRPr lang="en-US" sz="700">
              <a:latin typeface="Arial" charset="0"/>
              <a:ea typeface="Arial" charset="0"/>
              <a:cs typeface="Arial" charset="0"/>
            </a:endParaRPr>
          </a:p>
          <a:p>
            <a:r>
              <a:rPr lang="en-US" sz="1100">
                <a:solidFill>
                  <a:srgbClr val="FF0000"/>
                </a:solidFill>
                <a:latin typeface="Arial" charset="0"/>
                <a:ea typeface="Arial" charset="0"/>
                <a:cs typeface="Arial" charset="0"/>
              </a:rPr>
              <a:t>Recommendation</a:t>
            </a:r>
          </a:p>
          <a:p>
            <a:endParaRPr lang="en-US" sz="1000">
              <a:solidFill>
                <a:srgbClr val="FF0000"/>
              </a:solidFill>
              <a:latin typeface="Arial" charset="0"/>
              <a:ea typeface="Arial" charset="0"/>
              <a:cs typeface="Arial" charset="0"/>
            </a:endParaRPr>
          </a:p>
          <a:p>
            <a:r>
              <a:rPr lang="en-US" sz="1100">
                <a:latin typeface="Arial" charset="0"/>
                <a:ea typeface="Arial" charset="0"/>
                <a:cs typeface="Arial" charset="0"/>
              </a:rPr>
              <a:t>Additional</a:t>
            </a:r>
            <a:r>
              <a:rPr lang="en-US" sz="1100" baseline="0">
                <a:latin typeface="Arial" charset="0"/>
                <a:ea typeface="Arial" charset="0"/>
                <a:cs typeface="Arial" charset="0"/>
              </a:rPr>
              <a:t> Details</a:t>
            </a:r>
          </a:p>
          <a:p>
            <a:endParaRPr lang="en-US" sz="1200" baseline="0">
              <a:latin typeface="Arial" charset="0"/>
              <a:ea typeface="Arial" charset="0"/>
              <a:cs typeface="Arial" charset="0"/>
            </a:endParaRPr>
          </a:p>
          <a:p>
            <a:r>
              <a:rPr lang="en-US" sz="1100" baseline="0">
                <a:latin typeface="Arial" charset="0"/>
                <a:ea typeface="Arial" charset="0"/>
                <a:cs typeface="Arial" charset="0"/>
              </a:rPr>
              <a:t>Application Control</a:t>
            </a:r>
            <a:endParaRPr lang="en-US" sz="1100">
              <a:latin typeface="Arial" charset="0"/>
              <a:ea typeface="Arial" charset="0"/>
              <a:cs typeface="Arial" charset="0"/>
            </a:endParaRPr>
          </a:p>
        </xdr:txBody>
      </xdr:sp>
      <xdr:grpSp>
        <xdr:nvGrpSpPr>
          <xdr:cNvPr id="19" name="Group 18">
            <a:extLst>
              <a:ext uri="{FF2B5EF4-FFF2-40B4-BE49-F238E27FC236}">
                <a16:creationId xmlns="" xmlns:a16="http://schemas.microsoft.com/office/drawing/2014/main" id="{00000000-0008-0000-0400-000013000000}"/>
              </a:ext>
            </a:extLst>
          </xdr:cNvPr>
          <xdr:cNvGrpSpPr/>
        </xdr:nvGrpSpPr>
        <xdr:grpSpPr>
          <a:xfrm>
            <a:off x="5941219" y="333375"/>
            <a:ext cx="813133" cy="2024062"/>
            <a:chOff x="5893593" y="250030"/>
            <a:chExt cx="860759" cy="2149491"/>
          </a:xfrm>
        </xdr:grpSpPr>
        <xdr:grpSp>
          <xdr:nvGrpSpPr>
            <xdr:cNvPr id="20" name="Group 19">
              <a:extLst>
                <a:ext uri="{FF2B5EF4-FFF2-40B4-BE49-F238E27FC236}">
                  <a16:creationId xmlns="" xmlns:a16="http://schemas.microsoft.com/office/drawing/2014/main" id="{00000000-0008-0000-0400-000014000000}"/>
                </a:ext>
              </a:extLst>
            </xdr:cNvPr>
            <xdr:cNvGrpSpPr/>
          </xdr:nvGrpSpPr>
          <xdr:grpSpPr>
            <a:xfrm>
              <a:off x="5893593" y="250030"/>
              <a:ext cx="860759" cy="1410570"/>
              <a:chOff x="5893593" y="250030"/>
              <a:chExt cx="860759" cy="1410570"/>
            </a:xfrm>
          </xdr:grpSpPr>
          <xdr:sp macro="" textlink="">
            <xdr:nvSpPr>
              <xdr:cNvPr id="28" name="Rectangle 27">
                <a:extLst>
                  <a:ext uri="{FF2B5EF4-FFF2-40B4-BE49-F238E27FC236}">
                    <a16:creationId xmlns="" xmlns:a16="http://schemas.microsoft.com/office/drawing/2014/main" id="{00000000-0008-0000-0400-00001C000000}"/>
                  </a:ext>
                </a:extLst>
              </xdr:cNvPr>
              <xdr:cNvSpPr/>
            </xdr:nvSpPr>
            <xdr:spPr>
              <a:xfrm>
                <a:off x="6116853" y="825612"/>
                <a:ext cx="289885" cy="213912"/>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latin typeface="Arial" charset="0"/>
                  <a:ea typeface="Arial" charset="0"/>
                  <a:cs typeface="Arial" charset="0"/>
                </a:endParaRPr>
              </a:p>
            </xdr:txBody>
          </xdr:sp>
          <xdr:sp macro="" textlink="">
            <xdr:nvSpPr>
              <xdr:cNvPr id="29" name="Direct Access Storage 119">
                <a:extLst>
                  <a:ext uri="{FF2B5EF4-FFF2-40B4-BE49-F238E27FC236}">
                    <a16:creationId xmlns="" xmlns:a16="http://schemas.microsoft.com/office/drawing/2014/main" id="{00000000-0008-0000-0400-00001D000000}"/>
                  </a:ext>
                </a:extLst>
              </xdr:cNvPr>
              <xdr:cNvSpPr/>
            </xdr:nvSpPr>
            <xdr:spPr>
              <a:xfrm>
                <a:off x="6139334" y="1149178"/>
                <a:ext cx="273780" cy="213912"/>
              </a:xfrm>
              <a:prstGeom prst="flowChartMagneticDrum">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latin typeface="Arial" charset="0"/>
                  <a:ea typeface="Arial" charset="0"/>
                  <a:cs typeface="Arial" charset="0"/>
                </a:endParaRPr>
              </a:p>
            </xdr:txBody>
          </xdr:sp>
          <xdr:pic>
            <xdr:nvPicPr>
              <xdr:cNvPr id="30" name="Picture 29">
                <a:extLst>
                  <a:ext uri="{FF2B5EF4-FFF2-40B4-BE49-F238E27FC236}">
                    <a16:creationId xmlns="" xmlns:a16="http://schemas.microsoft.com/office/drawing/2014/main" id="{00000000-0008-0000-0400-00001E000000}"/>
                  </a:ext>
                </a:extLst>
              </xdr:cNvPr>
              <xdr:cNvPicPr>
                <a:picLocks noChangeAspect="1"/>
              </xdr:cNvPicPr>
            </xdr:nvPicPr>
            <xdr:blipFill>
              <a:blip xmlns:r="http://schemas.openxmlformats.org/officeDocument/2006/relationships" r:embed="rId3" cstate="print"/>
              <a:stretch>
                <a:fillRect/>
              </a:stretch>
            </xdr:blipFill>
            <xdr:spPr>
              <a:xfrm rot="19756698">
                <a:off x="6051802" y="359251"/>
                <a:ext cx="419982" cy="495082"/>
              </a:xfrm>
              <a:prstGeom prst="rect">
                <a:avLst/>
              </a:prstGeom>
            </xdr:spPr>
          </xdr:pic>
          <xdr:sp macro="" textlink="">
            <xdr:nvSpPr>
              <xdr:cNvPr id="31" name="TextBox 30">
                <a:extLst>
                  <a:ext uri="{FF2B5EF4-FFF2-40B4-BE49-F238E27FC236}">
                    <a16:creationId xmlns="" xmlns:a16="http://schemas.microsoft.com/office/drawing/2014/main" id="{00000000-0008-0000-0400-00001F000000}"/>
                  </a:ext>
                </a:extLst>
              </xdr:cNvPr>
              <xdr:cNvSpPr txBox="1"/>
            </xdr:nvSpPr>
            <xdr:spPr>
              <a:xfrm>
                <a:off x="5893593" y="250030"/>
                <a:ext cx="860759" cy="2619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r>
                  <a:rPr lang="en-US" sz="1100" b="1">
                    <a:latin typeface="Arial" charset="0"/>
                    <a:ea typeface="Arial" charset="0"/>
                    <a:cs typeface="Arial" charset="0"/>
                  </a:rPr>
                  <a:t>Legend:</a:t>
                </a:r>
              </a:p>
            </xdr:txBody>
          </xdr:sp>
          <xdr:sp macro="" textlink="">
            <xdr:nvSpPr>
              <xdr:cNvPr id="32" name="TextBox 31">
                <a:extLst>
                  <a:ext uri="{FF2B5EF4-FFF2-40B4-BE49-F238E27FC236}">
                    <a16:creationId xmlns="" xmlns:a16="http://schemas.microsoft.com/office/drawing/2014/main" id="{00000000-0008-0000-0400-000020000000}"/>
                  </a:ext>
                </a:extLst>
              </xdr:cNvPr>
              <xdr:cNvSpPr txBox="1"/>
            </xdr:nvSpPr>
            <xdr:spPr>
              <a:xfrm>
                <a:off x="6204816" y="1416552"/>
                <a:ext cx="207800" cy="244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ctr"/>
              <a:lstStyle/>
              <a:p>
                <a:pPr algn="ctr"/>
                <a:r>
                  <a:rPr lang="en-PH" sz="1400" b="1">
                    <a:solidFill>
                      <a:srgbClr val="FF0000"/>
                    </a:solidFill>
                    <a:latin typeface="Arial" charset="0"/>
                    <a:ea typeface="Arial" charset="0"/>
                    <a:cs typeface="Arial" charset="0"/>
                  </a:rPr>
                  <a:t>X</a:t>
                </a:r>
              </a:p>
            </xdr:txBody>
          </xdr:sp>
        </xdr:grpSp>
        <xdr:grpSp>
          <xdr:nvGrpSpPr>
            <xdr:cNvPr id="21" name="Group 20">
              <a:extLst>
                <a:ext uri="{FF2B5EF4-FFF2-40B4-BE49-F238E27FC236}">
                  <a16:creationId xmlns="" xmlns:a16="http://schemas.microsoft.com/office/drawing/2014/main" id="{00000000-0008-0000-0400-000015000000}"/>
                </a:ext>
              </a:extLst>
            </xdr:cNvPr>
            <xdr:cNvGrpSpPr/>
          </xdr:nvGrpSpPr>
          <xdr:grpSpPr>
            <a:xfrm>
              <a:off x="5953126" y="1654852"/>
              <a:ext cx="666750" cy="346672"/>
              <a:chOff x="5968981" y="1666758"/>
              <a:chExt cx="603269" cy="346672"/>
            </a:xfrm>
          </xdr:grpSpPr>
          <xdr:sp macro="" textlink="">
            <xdr:nvSpPr>
              <xdr:cNvPr id="23" name="Oval 22">
                <a:extLst>
                  <a:ext uri="{FF2B5EF4-FFF2-40B4-BE49-F238E27FC236}">
                    <a16:creationId xmlns="" xmlns:a16="http://schemas.microsoft.com/office/drawing/2014/main" id="{00000000-0008-0000-0400-000017000000}"/>
                  </a:ext>
                </a:extLst>
              </xdr:cNvPr>
              <xdr:cNvSpPr/>
            </xdr:nvSpPr>
            <xdr:spPr>
              <a:xfrm>
                <a:off x="6310766" y="1715165"/>
                <a:ext cx="261484" cy="285085"/>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endParaRPr lang="en-US" sz="500">
                  <a:latin typeface="Arial" charset="0"/>
                  <a:ea typeface="Arial" charset="0"/>
                  <a:cs typeface="Arial" charset="0"/>
                </a:endParaRPr>
              </a:p>
            </xdr:txBody>
          </xdr:sp>
          <xdr:grpSp>
            <xdr:nvGrpSpPr>
              <xdr:cNvPr id="24" name="Group 23">
                <a:extLst>
                  <a:ext uri="{FF2B5EF4-FFF2-40B4-BE49-F238E27FC236}">
                    <a16:creationId xmlns="" xmlns:a16="http://schemas.microsoft.com/office/drawing/2014/main" id="{00000000-0008-0000-0400-000018000000}"/>
                  </a:ext>
                </a:extLst>
              </xdr:cNvPr>
              <xdr:cNvGrpSpPr/>
            </xdr:nvGrpSpPr>
            <xdr:grpSpPr>
              <a:xfrm>
                <a:off x="5968981" y="1666758"/>
                <a:ext cx="596703" cy="346672"/>
                <a:chOff x="5524500" y="4806517"/>
                <a:chExt cx="525144" cy="259783"/>
              </a:xfrm>
            </xdr:grpSpPr>
            <xdr:sp macro="" textlink="">
              <xdr:nvSpPr>
                <xdr:cNvPr id="25" name="TextBox 24">
                  <a:extLst>
                    <a:ext uri="{FF2B5EF4-FFF2-40B4-BE49-F238E27FC236}">
                      <a16:creationId xmlns="" xmlns:a16="http://schemas.microsoft.com/office/drawing/2014/main" id="{00000000-0008-0000-0400-000019000000}"/>
                    </a:ext>
                  </a:extLst>
                </xdr:cNvPr>
                <xdr:cNvSpPr txBox="1"/>
              </xdr:nvSpPr>
              <xdr:spPr>
                <a:xfrm>
                  <a:off x="5846445" y="4864101"/>
                  <a:ext cx="203199" cy="165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144" tIns="9144" rIns="9144" bIns="9144" rtlCol="0" anchor="ctr">
                  <a:noAutofit/>
                </a:bodyPr>
                <a:lstStyle/>
                <a:p>
                  <a:pPr algn="ctr"/>
                  <a:r>
                    <a:rPr lang="en-US" sz="900">
                      <a:latin typeface="Arial" charset="0"/>
                      <a:ea typeface="Arial" charset="0"/>
                      <a:cs typeface="Arial" charset="0"/>
                    </a:rPr>
                    <a:t>xyz</a:t>
                  </a:r>
                </a:p>
              </xdr:txBody>
            </xdr:sp>
            <xdr:sp macro="" textlink="">
              <xdr:nvSpPr>
                <xdr:cNvPr id="26" name="Oval 25">
                  <a:extLst>
                    <a:ext uri="{FF2B5EF4-FFF2-40B4-BE49-F238E27FC236}">
                      <a16:creationId xmlns="" xmlns:a16="http://schemas.microsoft.com/office/drawing/2014/main" id="{00000000-0008-0000-0400-00001A000000}"/>
                    </a:ext>
                  </a:extLst>
                </xdr:cNvPr>
                <xdr:cNvSpPr/>
              </xdr:nvSpPr>
              <xdr:spPr>
                <a:xfrm>
                  <a:off x="5524500" y="4842823"/>
                  <a:ext cx="206088" cy="195757"/>
                </a:xfrm>
                <a:prstGeom prst="ellipse">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900">
                      <a:latin typeface="Arial" charset="0"/>
                      <a:ea typeface="Arial" charset="0"/>
                      <a:cs typeface="Arial" charset="0"/>
                    </a:rPr>
                    <a:t>1</a:t>
                  </a:r>
                </a:p>
              </xdr:txBody>
            </xdr:sp>
            <xdr:sp macro="" textlink="">
              <xdr:nvSpPr>
                <xdr:cNvPr id="27" name="TextBox 26">
                  <a:extLst>
                    <a:ext uri="{FF2B5EF4-FFF2-40B4-BE49-F238E27FC236}">
                      <a16:creationId xmlns="" xmlns:a16="http://schemas.microsoft.com/office/drawing/2014/main" id="{00000000-0008-0000-0400-00001B000000}"/>
                    </a:ext>
                  </a:extLst>
                </xdr:cNvPr>
                <xdr:cNvSpPr txBox="1"/>
              </xdr:nvSpPr>
              <xdr:spPr>
                <a:xfrm>
                  <a:off x="5684074" y="4806517"/>
                  <a:ext cx="200394" cy="259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600" b="1">
                      <a:latin typeface="Arial" charset="0"/>
                      <a:ea typeface="Arial" charset="0"/>
                      <a:cs typeface="Arial" charset="0"/>
                    </a:rPr>
                    <a:t>/</a:t>
                  </a:r>
                </a:p>
              </xdr:txBody>
            </xdr:sp>
          </xdr:grpSp>
        </xdr:grpSp>
        <xdr:pic>
          <xdr:nvPicPr>
            <xdr:cNvPr id="22" name="Picture 21">
              <a:extLst>
                <a:ext uri="{FF2B5EF4-FFF2-40B4-BE49-F238E27FC236}">
                  <a16:creationId xmlns="" xmlns:a16="http://schemas.microsoft.com/office/drawing/2014/main" id="{00000000-0008-0000-0400-000016000000}"/>
                </a:ext>
              </a:extLst>
            </xdr:cNvPr>
            <xdr:cNvPicPr>
              <a:picLocks noChangeAspect="1"/>
            </xdr:cNvPicPr>
          </xdr:nvPicPr>
          <xdr:blipFill>
            <a:blip xmlns:r="http://schemas.openxmlformats.org/officeDocument/2006/relationships" r:embed="rId4" cstate="print"/>
            <a:stretch>
              <a:fillRect/>
            </a:stretch>
          </xdr:blipFill>
          <xdr:spPr>
            <a:xfrm>
              <a:off x="6142152" y="2026671"/>
              <a:ext cx="317473" cy="372850"/>
            </a:xfrm>
            <a:prstGeom prst="rect">
              <a:avLst/>
            </a:prstGeom>
          </xdr:spPr>
        </xdr:pic>
      </xdr:grpSp>
    </xdr:grpSp>
    <xdr:clientData/>
  </xdr:twoCellAnchor>
  <xdr:twoCellAnchor>
    <xdr:from>
      <xdr:col>3</xdr:col>
      <xdr:colOff>574899</xdr:colOff>
      <xdr:row>4</xdr:row>
      <xdr:rowOff>294059</xdr:rowOff>
    </xdr:from>
    <xdr:to>
      <xdr:col>3</xdr:col>
      <xdr:colOff>2495139</xdr:colOff>
      <xdr:row>4</xdr:row>
      <xdr:rowOff>1665659</xdr:rowOff>
    </xdr:to>
    <xdr:sp macro="" textlink="">
      <xdr:nvSpPr>
        <xdr:cNvPr id="33" name="Direct Access Storage 119">
          <a:extLst>
            <a:ext uri="{FF2B5EF4-FFF2-40B4-BE49-F238E27FC236}">
              <a16:creationId xmlns="" xmlns:a16="http://schemas.microsoft.com/office/drawing/2014/main" id="{00000000-0008-0000-0400-000021000000}"/>
            </a:ext>
          </a:extLst>
        </xdr:cNvPr>
        <xdr:cNvSpPr/>
      </xdr:nvSpPr>
      <xdr:spPr>
        <a:xfrm>
          <a:off x="6794724" y="684584"/>
          <a:ext cx="1920240" cy="1371600"/>
        </a:xfrm>
        <a:prstGeom prst="flowChartMagneticDrum">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Arial" charset="0"/>
              <a:ea typeface="Arial" charset="0"/>
              <a:cs typeface="Arial" charset="0"/>
            </a:rPr>
            <a:t>Accrualify updates unpaid balanced</a:t>
          </a:r>
        </a:p>
      </xdr:txBody>
    </xdr:sp>
    <xdr:clientData/>
  </xdr:twoCellAnchor>
  <xdr:twoCellAnchor>
    <xdr:from>
      <xdr:col>10</xdr:col>
      <xdr:colOff>647436</xdr:colOff>
      <xdr:row>9</xdr:row>
      <xdr:rowOff>282738</xdr:rowOff>
    </xdr:from>
    <xdr:to>
      <xdr:col>10</xdr:col>
      <xdr:colOff>2567676</xdr:colOff>
      <xdr:row>9</xdr:row>
      <xdr:rowOff>1654338</xdr:rowOff>
    </xdr:to>
    <xdr:sp macro="" textlink="">
      <xdr:nvSpPr>
        <xdr:cNvPr id="34" name="Rectangle 33">
          <a:extLst>
            <a:ext uri="{FF2B5EF4-FFF2-40B4-BE49-F238E27FC236}">
              <a16:creationId xmlns="" xmlns:a16="http://schemas.microsoft.com/office/drawing/2014/main" id="{00000000-0008-0000-0400-000022000000}"/>
            </a:ext>
          </a:extLst>
        </xdr:cNvPr>
        <xdr:cNvSpPr/>
      </xdr:nvSpPr>
      <xdr:spPr>
        <a:xfrm>
          <a:off x="25802961" y="10484013"/>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ysClr val="windowText" lastClr="000000"/>
              </a:solidFill>
              <a:latin typeface="Arial" charset="0"/>
              <a:ea typeface="Arial" charset="0"/>
              <a:cs typeface="Arial" charset="0"/>
            </a:rPr>
            <a:t>Monthly, review reconciliation</a:t>
          </a:r>
          <a:r>
            <a:rPr lang="en-US" sz="1100" baseline="0">
              <a:solidFill>
                <a:sysClr val="windowText" lastClr="000000"/>
              </a:solidFill>
              <a:latin typeface="Arial" charset="0"/>
              <a:ea typeface="Arial" charset="0"/>
              <a:cs typeface="Arial" charset="0"/>
            </a:rPr>
            <a:t>s against Trial Balance</a:t>
          </a:r>
        </a:p>
        <a:p>
          <a:pPr algn="ctr"/>
          <a:r>
            <a:rPr lang="en-US" sz="1100" baseline="0">
              <a:solidFill>
                <a:sysClr val="windowText" lastClr="000000"/>
              </a:solidFill>
              <a:latin typeface="Arial" charset="0"/>
              <a:ea typeface="Arial" charset="0"/>
              <a:cs typeface="Arial" charset="0"/>
            </a:rPr>
            <a:t>(FCR </a:t>
          </a:r>
        </a:p>
      </xdr:txBody>
    </xdr:sp>
    <xdr:clientData/>
  </xdr:twoCellAnchor>
  <xdr:twoCellAnchor>
    <xdr:from>
      <xdr:col>10</xdr:col>
      <xdr:colOff>1607556</xdr:colOff>
      <xdr:row>9</xdr:row>
      <xdr:rowOff>1654338</xdr:rowOff>
    </xdr:from>
    <xdr:to>
      <xdr:col>10</xdr:col>
      <xdr:colOff>1607556</xdr:colOff>
      <xdr:row>10</xdr:row>
      <xdr:rowOff>262593</xdr:rowOff>
    </xdr:to>
    <xdr:cxnSp macro="">
      <xdr:nvCxnSpPr>
        <xdr:cNvPr id="35" name="Straight Arrow Connector 34">
          <a:extLst>
            <a:ext uri="{FF2B5EF4-FFF2-40B4-BE49-F238E27FC236}">
              <a16:creationId xmlns="" xmlns:a16="http://schemas.microsoft.com/office/drawing/2014/main" id="{00000000-0008-0000-0400-000023000000}"/>
            </a:ext>
          </a:extLst>
        </xdr:cNvPr>
        <xdr:cNvCxnSpPr>
          <a:stCxn id="34" idx="2"/>
          <a:endCxn id="36" idx="0"/>
        </xdr:cNvCxnSpPr>
      </xdr:nvCxnSpPr>
      <xdr:spPr>
        <a:xfrm>
          <a:off x="26763081" y="11855613"/>
          <a:ext cx="0" cy="57040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647436</xdr:colOff>
      <xdr:row>10</xdr:row>
      <xdr:rowOff>262593</xdr:rowOff>
    </xdr:from>
    <xdr:to>
      <xdr:col>10</xdr:col>
      <xdr:colOff>2567676</xdr:colOff>
      <xdr:row>10</xdr:row>
      <xdr:rowOff>1634193</xdr:rowOff>
    </xdr:to>
    <xdr:sp macro="" textlink="">
      <xdr:nvSpPr>
        <xdr:cNvPr id="36" name="Rectangle 35">
          <a:extLst>
            <a:ext uri="{FF2B5EF4-FFF2-40B4-BE49-F238E27FC236}">
              <a16:creationId xmlns="" xmlns:a16="http://schemas.microsoft.com/office/drawing/2014/main" id="{00000000-0008-0000-0400-000024000000}"/>
            </a:ext>
          </a:extLst>
        </xdr:cNvPr>
        <xdr:cNvSpPr/>
      </xdr:nvSpPr>
      <xdr:spPr>
        <a:xfrm>
          <a:off x="25802961" y="12426018"/>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Validate beginning GL balance </a:t>
          </a:r>
        </a:p>
        <a:p>
          <a:pPr algn="ctr"/>
          <a:r>
            <a:rPr lang="en-US" sz="1100" baseline="0">
              <a:solidFill>
                <a:sysClr val="windowText" lastClr="000000"/>
              </a:solidFill>
              <a:latin typeface="Arial" charset="0"/>
              <a:ea typeface="Arial" charset="0"/>
              <a:cs typeface="Arial" charset="0"/>
            </a:rPr>
            <a:t>(FCR 6.04)</a:t>
          </a:r>
        </a:p>
      </xdr:txBody>
    </xdr:sp>
    <xdr:clientData/>
  </xdr:twoCellAnchor>
  <xdr:twoCellAnchor>
    <xdr:from>
      <xdr:col>9</xdr:col>
      <xdr:colOff>498645</xdr:colOff>
      <xdr:row>7</xdr:row>
      <xdr:rowOff>283058</xdr:rowOff>
    </xdr:from>
    <xdr:to>
      <xdr:col>9</xdr:col>
      <xdr:colOff>2418885</xdr:colOff>
      <xdr:row>7</xdr:row>
      <xdr:rowOff>1654658</xdr:rowOff>
    </xdr:to>
    <xdr:sp macro="" textlink="">
      <xdr:nvSpPr>
        <xdr:cNvPr id="37" name="Rectangle 36">
          <a:extLst>
            <a:ext uri="{FF2B5EF4-FFF2-40B4-BE49-F238E27FC236}">
              <a16:creationId xmlns="" xmlns:a16="http://schemas.microsoft.com/office/drawing/2014/main" id="{00000000-0008-0000-0400-000025000000}"/>
            </a:ext>
          </a:extLst>
        </xdr:cNvPr>
        <xdr:cNvSpPr/>
      </xdr:nvSpPr>
      <xdr:spPr>
        <a:xfrm>
          <a:off x="22949070" y="6560033"/>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Monthly, generate Trial Balance, P&amp;L and Balance Sheet in QAD</a:t>
          </a:r>
        </a:p>
      </xdr:txBody>
    </xdr:sp>
    <xdr:clientData/>
  </xdr:twoCellAnchor>
  <xdr:twoCellAnchor>
    <xdr:from>
      <xdr:col>10</xdr:col>
      <xdr:colOff>647436</xdr:colOff>
      <xdr:row>11</xdr:row>
      <xdr:rowOff>316213</xdr:rowOff>
    </xdr:from>
    <xdr:to>
      <xdr:col>10</xdr:col>
      <xdr:colOff>2567676</xdr:colOff>
      <xdr:row>11</xdr:row>
      <xdr:rowOff>1687813</xdr:rowOff>
    </xdr:to>
    <xdr:sp macro="" textlink="">
      <xdr:nvSpPr>
        <xdr:cNvPr id="38" name="Rectangle 37">
          <a:extLst>
            <a:ext uri="{FF2B5EF4-FFF2-40B4-BE49-F238E27FC236}">
              <a16:creationId xmlns="" xmlns:a16="http://schemas.microsoft.com/office/drawing/2014/main" id="{00000000-0008-0000-0400-000026000000}"/>
            </a:ext>
          </a:extLst>
        </xdr:cNvPr>
        <xdr:cNvSpPr/>
      </xdr:nvSpPr>
      <xdr:spPr>
        <a:xfrm>
          <a:off x="25802961" y="14441788"/>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Prepare Financial Statement (10Q/10K), including supporting schedules</a:t>
          </a:r>
        </a:p>
      </xdr:txBody>
    </xdr:sp>
    <xdr:clientData/>
  </xdr:twoCellAnchor>
  <xdr:twoCellAnchor>
    <xdr:from>
      <xdr:col>10</xdr:col>
      <xdr:colOff>1607556</xdr:colOff>
      <xdr:row>10</xdr:row>
      <xdr:rowOff>1634193</xdr:rowOff>
    </xdr:from>
    <xdr:to>
      <xdr:col>10</xdr:col>
      <xdr:colOff>1607556</xdr:colOff>
      <xdr:row>11</xdr:row>
      <xdr:rowOff>316213</xdr:rowOff>
    </xdr:to>
    <xdr:cxnSp macro="">
      <xdr:nvCxnSpPr>
        <xdr:cNvPr id="39" name="Straight Arrow Connector 38">
          <a:extLst>
            <a:ext uri="{FF2B5EF4-FFF2-40B4-BE49-F238E27FC236}">
              <a16:creationId xmlns="" xmlns:a16="http://schemas.microsoft.com/office/drawing/2014/main" id="{00000000-0008-0000-0400-000027000000}"/>
            </a:ext>
          </a:extLst>
        </xdr:cNvPr>
        <xdr:cNvCxnSpPr>
          <a:stCxn id="36" idx="2"/>
          <a:endCxn id="38" idx="0"/>
        </xdr:cNvCxnSpPr>
      </xdr:nvCxnSpPr>
      <xdr:spPr>
        <a:xfrm>
          <a:off x="26763081" y="13797618"/>
          <a:ext cx="0" cy="64417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436995</xdr:colOff>
      <xdr:row>9</xdr:row>
      <xdr:rowOff>3471052</xdr:rowOff>
    </xdr:from>
    <xdr:to>
      <xdr:col>12</xdr:col>
      <xdr:colOff>2357235</xdr:colOff>
      <xdr:row>9</xdr:row>
      <xdr:rowOff>4842652</xdr:rowOff>
    </xdr:to>
    <xdr:sp macro="" textlink="">
      <xdr:nvSpPr>
        <xdr:cNvPr id="40" name="Rectangle 39">
          <a:extLst>
            <a:ext uri="{FF2B5EF4-FFF2-40B4-BE49-F238E27FC236}">
              <a16:creationId xmlns="" xmlns:a16="http://schemas.microsoft.com/office/drawing/2014/main" id="{00000000-0008-0000-0400-000028000000}"/>
            </a:ext>
          </a:extLst>
        </xdr:cNvPr>
        <xdr:cNvSpPr/>
      </xdr:nvSpPr>
      <xdr:spPr>
        <a:xfrm>
          <a:off x="31002720" y="12167377"/>
          <a:ext cx="1920240" cy="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Review and approve Reporting Calendar and Cash Flow Statements</a:t>
          </a:r>
        </a:p>
      </xdr:txBody>
    </xdr:sp>
    <xdr:clientData/>
  </xdr:twoCellAnchor>
  <xdr:twoCellAnchor>
    <xdr:from>
      <xdr:col>10</xdr:col>
      <xdr:colOff>2567676</xdr:colOff>
      <xdr:row>9</xdr:row>
      <xdr:rowOff>1654338</xdr:rowOff>
    </xdr:from>
    <xdr:to>
      <xdr:col>11</xdr:col>
      <xdr:colOff>1423187</xdr:colOff>
      <xdr:row>11</xdr:row>
      <xdr:rowOff>1002013</xdr:rowOff>
    </xdr:to>
    <xdr:cxnSp macro="">
      <xdr:nvCxnSpPr>
        <xdr:cNvPr id="41" name="Connector: Elbow 40">
          <a:extLst>
            <a:ext uri="{FF2B5EF4-FFF2-40B4-BE49-F238E27FC236}">
              <a16:creationId xmlns="" xmlns:a16="http://schemas.microsoft.com/office/drawing/2014/main" id="{00000000-0008-0000-0400-000029000000}"/>
            </a:ext>
          </a:extLst>
        </xdr:cNvPr>
        <xdr:cNvCxnSpPr>
          <a:stCxn id="38" idx="3"/>
          <a:endCxn id="78" idx="2"/>
        </xdr:cNvCxnSpPr>
      </xdr:nvCxnSpPr>
      <xdr:spPr>
        <a:xfrm flipV="1">
          <a:off x="27723201" y="11855613"/>
          <a:ext cx="1560611" cy="3271975"/>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652815</xdr:colOff>
      <xdr:row>10</xdr:row>
      <xdr:rowOff>262593</xdr:rowOff>
    </xdr:from>
    <xdr:to>
      <xdr:col>14</xdr:col>
      <xdr:colOff>2573055</xdr:colOff>
      <xdr:row>10</xdr:row>
      <xdr:rowOff>1634193</xdr:rowOff>
    </xdr:to>
    <xdr:sp macro="" textlink="">
      <xdr:nvSpPr>
        <xdr:cNvPr id="42" name="Rectangle 41">
          <a:extLst>
            <a:ext uri="{FF2B5EF4-FFF2-40B4-BE49-F238E27FC236}">
              <a16:creationId xmlns="" xmlns:a16="http://schemas.microsoft.com/office/drawing/2014/main" id="{00000000-0008-0000-0400-00002A000000}"/>
            </a:ext>
          </a:extLst>
        </xdr:cNvPr>
        <xdr:cNvSpPr/>
      </xdr:nvSpPr>
      <xdr:spPr>
        <a:xfrm>
          <a:off x="36628740" y="12426018"/>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Review and approve the tied out 10Q/10K</a:t>
          </a:r>
        </a:p>
        <a:p>
          <a:pPr algn="ctr"/>
          <a:r>
            <a:rPr lang="en-US" sz="1100" baseline="0">
              <a:solidFill>
                <a:sysClr val="windowText" lastClr="000000"/>
              </a:solidFill>
              <a:latin typeface="Arial" charset="0"/>
              <a:ea typeface="Arial" charset="0"/>
              <a:cs typeface="Arial" charset="0"/>
            </a:rPr>
            <a:t>(FCR 6.11)</a:t>
          </a:r>
        </a:p>
      </xdr:txBody>
    </xdr:sp>
    <xdr:clientData/>
  </xdr:twoCellAnchor>
  <xdr:twoCellAnchor>
    <xdr:from>
      <xdr:col>14</xdr:col>
      <xdr:colOff>652815</xdr:colOff>
      <xdr:row>13</xdr:row>
      <xdr:rowOff>171616</xdr:rowOff>
    </xdr:from>
    <xdr:to>
      <xdr:col>14</xdr:col>
      <xdr:colOff>2573055</xdr:colOff>
      <xdr:row>13</xdr:row>
      <xdr:rowOff>1543216</xdr:rowOff>
    </xdr:to>
    <xdr:sp macro="" textlink="">
      <xdr:nvSpPr>
        <xdr:cNvPr id="43" name="Rectangle 42">
          <a:extLst>
            <a:ext uri="{FF2B5EF4-FFF2-40B4-BE49-F238E27FC236}">
              <a16:creationId xmlns="" xmlns:a16="http://schemas.microsoft.com/office/drawing/2014/main" id="{00000000-0008-0000-0400-00002B000000}"/>
            </a:ext>
          </a:extLst>
        </xdr:cNvPr>
        <xdr:cNvSpPr/>
      </xdr:nvSpPr>
      <xdr:spPr>
        <a:xfrm>
          <a:off x="36628740" y="18221491"/>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Review and approve 10Q/10K and signs the 302 and 906 certification</a:t>
          </a:r>
        </a:p>
        <a:p>
          <a:pPr algn="ctr"/>
          <a:r>
            <a:rPr lang="en-US" sz="1100" baseline="0">
              <a:solidFill>
                <a:sysClr val="windowText" lastClr="000000"/>
              </a:solidFill>
              <a:latin typeface="Arial" charset="0"/>
              <a:ea typeface="Arial" charset="0"/>
              <a:cs typeface="Arial" charset="0"/>
            </a:rPr>
            <a:t>(ELC 1.06)</a:t>
          </a:r>
        </a:p>
      </xdr:txBody>
    </xdr:sp>
    <xdr:clientData/>
  </xdr:twoCellAnchor>
  <xdr:twoCellAnchor>
    <xdr:from>
      <xdr:col>14</xdr:col>
      <xdr:colOff>652815</xdr:colOff>
      <xdr:row>14</xdr:row>
      <xdr:rowOff>260104</xdr:rowOff>
    </xdr:from>
    <xdr:to>
      <xdr:col>14</xdr:col>
      <xdr:colOff>2573055</xdr:colOff>
      <xdr:row>14</xdr:row>
      <xdr:rowOff>1631704</xdr:rowOff>
    </xdr:to>
    <xdr:sp macro="" textlink="">
      <xdr:nvSpPr>
        <xdr:cNvPr id="44" name="Rectangle 43">
          <a:extLst>
            <a:ext uri="{FF2B5EF4-FFF2-40B4-BE49-F238E27FC236}">
              <a16:creationId xmlns="" xmlns:a16="http://schemas.microsoft.com/office/drawing/2014/main" id="{00000000-0008-0000-0400-00002C000000}"/>
            </a:ext>
          </a:extLst>
        </xdr:cNvPr>
        <xdr:cNvSpPr/>
      </xdr:nvSpPr>
      <xdr:spPr>
        <a:xfrm>
          <a:off x="36628740" y="20272129"/>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Review annual financial results</a:t>
          </a:r>
        </a:p>
        <a:p>
          <a:pPr algn="ctr"/>
          <a:r>
            <a:rPr lang="en-US" sz="1100" baseline="0">
              <a:solidFill>
                <a:sysClr val="windowText" lastClr="000000"/>
              </a:solidFill>
              <a:latin typeface="Arial" charset="0"/>
              <a:ea typeface="Arial" charset="0"/>
              <a:cs typeface="Arial" charset="0"/>
            </a:rPr>
            <a:t>(ELC 5.01)</a:t>
          </a:r>
        </a:p>
      </xdr:txBody>
    </xdr:sp>
    <xdr:clientData/>
  </xdr:twoCellAnchor>
  <xdr:twoCellAnchor>
    <xdr:from>
      <xdr:col>14</xdr:col>
      <xdr:colOff>1604819</xdr:colOff>
      <xdr:row>12</xdr:row>
      <xdr:rowOff>1489363</xdr:rowOff>
    </xdr:from>
    <xdr:to>
      <xdr:col>14</xdr:col>
      <xdr:colOff>1612935</xdr:colOff>
      <xdr:row>13</xdr:row>
      <xdr:rowOff>171616</xdr:rowOff>
    </xdr:to>
    <xdr:cxnSp macro="">
      <xdr:nvCxnSpPr>
        <xdr:cNvPr id="45" name="Straight Arrow Connector 44">
          <a:extLst>
            <a:ext uri="{FF2B5EF4-FFF2-40B4-BE49-F238E27FC236}">
              <a16:creationId xmlns="" xmlns:a16="http://schemas.microsoft.com/office/drawing/2014/main" id="{00000000-0008-0000-0400-00002D000000}"/>
            </a:ext>
          </a:extLst>
        </xdr:cNvPr>
        <xdr:cNvCxnSpPr>
          <a:endCxn id="43" idx="0"/>
        </xdr:cNvCxnSpPr>
      </xdr:nvCxnSpPr>
      <xdr:spPr>
        <a:xfrm>
          <a:off x="37580744" y="17577088"/>
          <a:ext cx="8116" cy="644403"/>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1612935</xdr:colOff>
      <xdr:row>13</xdr:row>
      <xdr:rowOff>1543216</xdr:rowOff>
    </xdr:from>
    <xdr:to>
      <xdr:col>14</xdr:col>
      <xdr:colOff>1612935</xdr:colOff>
      <xdr:row>14</xdr:row>
      <xdr:rowOff>260104</xdr:rowOff>
    </xdr:to>
    <xdr:cxnSp macro="">
      <xdr:nvCxnSpPr>
        <xdr:cNvPr id="46" name="Straight Arrow Connector 45">
          <a:extLst>
            <a:ext uri="{FF2B5EF4-FFF2-40B4-BE49-F238E27FC236}">
              <a16:creationId xmlns="" xmlns:a16="http://schemas.microsoft.com/office/drawing/2014/main" id="{00000000-0008-0000-0400-00002E000000}"/>
            </a:ext>
          </a:extLst>
        </xdr:cNvPr>
        <xdr:cNvCxnSpPr>
          <a:stCxn id="43" idx="2"/>
          <a:endCxn id="44" idx="0"/>
        </xdr:cNvCxnSpPr>
      </xdr:nvCxnSpPr>
      <xdr:spPr>
        <a:xfrm>
          <a:off x="37588860" y="19593091"/>
          <a:ext cx="0" cy="679038"/>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1224832</xdr:colOff>
      <xdr:row>4</xdr:row>
      <xdr:rowOff>746687</xdr:rowOff>
    </xdr:from>
    <xdr:to>
      <xdr:col>1</xdr:col>
      <xdr:colOff>1983784</xdr:colOff>
      <xdr:row>4</xdr:row>
      <xdr:rowOff>1213031</xdr:rowOff>
    </xdr:to>
    <xdr:sp macro="" textlink="">
      <xdr:nvSpPr>
        <xdr:cNvPr id="47" name="Flowchart: Terminator 14">
          <a:extLst>
            <a:ext uri="{FF2B5EF4-FFF2-40B4-BE49-F238E27FC236}">
              <a16:creationId xmlns="" xmlns:a16="http://schemas.microsoft.com/office/drawing/2014/main" id="{00000000-0008-0000-0400-00002F000000}"/>
            </a:ext>
          </a:extLst>
        </xdr:cNvPr>
        <xdr:cNvSpPr/>
      </xdr:nvSpPr>
      <xdr:spPr>
        <a:xfrm>
          <a:off x="2034457" y="1137212"/>
          <a:ext cx="758952" cy="466344"/>
        </a:xfrm>
        <a:prstGeom prst="flowChartTerminator">
          <a:avLst/>
        </a:prstGeom>
        <a:no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PH" sz="1100">
              <a:solidFill>
                <a:sysClr val="windowText" lastClr="000000"/>
              </a:solidFill>
              <a:latin typeface="Arial" panose="020B0604020202020204" pitchFamily="34" charset="0"/>
              <a:cs typeface="Arial" panose="020B0604020202020204" pitchFamily="34" charset="0"/>
            </a:rPr>
            <a:t>Start</a:t>
          </a:r>
        </a:p>
      </xdr:txBody>
    </xdr:sp>
    <xdr:clientData/>
  </xdr:twoCellAnchor>
  <xdr:twoCellAnchor>
    <xdr:from>
      <xdr:col>1</xdr:col>
      <xdr:colOff>1983784</xdr:colOff>
      <xdr:row>4</xdr:row>
      <xdr:rowOff>979859</xdr:rowOff>
    </xdr:from>
    <xdr:to>
      <xdr:col>2</xdr:col>
      <xdr:colOff>344803</xdr:colOff>
      <xdr:row>4</xdr:row>
      <xdr:rowOff>979859</xdr:rowOff>
    </xdr:to>
    <xdr:cxnSp macro="">
      <xdr:nvCxnSpPr>
        <xdr:cNvPr id="48" name="Straight Arrow Connector 47">
          <a:extLst>
            <a:ext uri="{FF2B5EF4-FFF2-40B4-BE49-F238E27FC236}">
              <a16:creationId xmlns="" xmlns:a16="http://schemas.microsoft.com/office/drawing/2014/main" id="{00000000-0008-0000-0400-000030000000}"/>
            </a:ext>
          </a:extLst>
        </xdr:cNvPr>
        <xdr:cNvCxnSpPr>
          <a:stCxn id="47" idx="3"/>
          <a:endCxn id="6" idx="1"/>
        </xdr:cNvCxnSpPr>
      </xdr:nvCxnSpPr>
      <xdr:spPr>
        <a:xfrm>
          <a:off x="2793409" y="1370384"/>
          <a:ext cx="1066119"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1604902</xdr:colOff>
      <xdr:row>14</xdr:row>
      <xdr:rowOff>712732</xdr:rowOff>
    </xdr:from>
    <xdr:to>
      <xdr:col>15</xdr:col>
      <xdr:colOff>2363854</xdr:colOff>
      <xdr:row>14</xdr:row>
      <xdr:rowOff>1179076</xdr:rowOff>
    </xdr:to>
    <xdr:sp macro="" textlink="">
      <xdr:nvSpPr>
        <xdr:cNvPr id="49" name="Flowchart: Terminator 14">
          <a:extLst>
            <a:ext uri="{FF2B5EF4-FFF2-40B4-BE49-F238E27FC236}">
              <a16:creationId xmlns="" xmlns:a16="http://schemas.microsoft.com/office/drawing/2014/main" id="{00000000-0008-0000-0400-000031000000}"/>
            </a:ext>
          </a:extLst>
        </xdr:cNvPr>
        <xdr:cNvSpPr/>
      </xdr:nvSpPr>
      <xdr:spPr>
        <a:xfrm>
          <a:off x="40285927" y="20724757"/>
          <a:ext cx="758952" cy="466344"/>
        </a:xfrm>
        <a:prstGeom prst="flowChartTerminator">
          <a:avLst/>
        </a:prstGeom>
        <a:no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PH" sz="1100">
              <a:solidFill>
                <a:sysClr val="windowText" lastClr="000000"/>
              </a:solidFill>
              <a:latin typeface="Arial" panose="020B0604020202020204" pitchFamily="34" charset="0"/>
              <a:cs typeface="Arial" panose="020B0604020202020204" pitchFamily="34" charset="0"/>
            </a:rPr>
            <a:t>End</a:t>
          </a:r>
        </a:p>
      </xdr:txBody>
    </xdr:sp>
    <xdr:clientData/>
  </xdr:twoCellAnchor>
  <xdr:twoCellAnchor>
    <xdr:from>
      <xdr:col>14</xdr:col>
      <xdr:colOff>2573055</xdr:colOff>
      <xdr:row>14</xdr:row>
      <xdr:rowOff>945904</xdr:rowOff>
    </xdr:from>
    <xdr:to>
      <xdr:col>15</xdr:col>
      <xdr:colOff>1604902</xdr:colOff>
      <xdr:row>14</xdr:row>
      <xdr:rowOff>945904</xdr:rowOff>
    </xdr:to>
    <xdr:cxnSp macro="">
      <xdr:nvCxnSpPr>
        <xdr:cNvPr id="50" name="Straight Arrow Connector 49">
          <a:extLst>
            <a:ext uri="{FF2B5EF4-FFF2-40B4-BE49-F238E27FC236}">
              <a16:creationId xmlns="" xmlns:a16="http://schemas.microsoft.com/office/drawing/2014/main" id="{00000000-0008-0000-0400-000032000000}"/>
            </a:ext>
          </a:extLst>
        </xdr:cNvPr>
        <xdr:cNvCxnSpPr>
          <a:stCxn id="44" idx="3"/>
          <a:endCxn id="49" idx="1"/>
        </xdr:cNvCxnSpPr>
      </xdr:nvCxnSpPr>
      <xdr:spPr>
        <a:xfrm>
          <a:off x="38548980" y="20957929"/>
          <a:ext cx="1736947"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459198</xdr:colOff>
      <xdr:row>9</xdr:row>
      <xdr:rowOff>108806</xdr:rowOff>
    </xdr:from>
    <xdr:to>
      <xdr:col>10</xdr:col>
      <xdr:colOff>893728</xdr:colOff>
      <xdr:row>9</xdr:row>
      <xdr:rowOff>604359</xdr:rowOff>
    </xdr:to>
    <xdr:pic>
      <xdr:nvPicPr>
        <xdr:cNvPr id="51" name="Picture 50">
          <a:extLst>
            <a:ext uri="{FF2B5EF4-FFF2-40B4-BE49-F238E27FC236}">
              <a16:creationId xmlns="" xmlns:a16="http://schemas.microsoft.com/office/drawing/2014/main" id="{00000000-0008-0000-0400-000033000000}"/>
            </a:ext>
          </a:extLst>
        </xdr:cNvPr>
        <xdr:cNvPicPr>
          <a:picLocks noChangeAspect="1"/>
        </xdr:cNvPicPr>
      </xdr:nvPicPr>
      <xdr:blipFill>
        <a:blip xmlns:r="http://schemas.openxmlformats.org/officeDocument/2006/relationships" r:embed="rId3" cstate="print"/>
        <a:stretch>
          <a:fillRect/>
        </a:stretch>
      </xdr:blipFill>
      <xdr:spPr>
        <a:xfrm rot="19756698">
          <a:off x="25614723" y="10310081"/>
          <a:ext cx="434530" cy="495553"/>
        </a:xfrm>
        <a:prstGeom prst="rect">
          <a:avLst/>
        </a:prstGeom>
      </xdr:spPr>
    </xdr:pic>
    <xdr:clientData/>
  </xdr:twoCellAnchor>
  <xdr:twoCellAnchor>
    <xdr:from>
      <xdr:col>10</xdr:col>
      <xdr:colOff>493035</xdr:colOff>
      <xdr:row>10</xdr:row>
      <xdr:rowOff>95128</xdr:rowOff>
    </xdr:from>
    <xdr:to>
      <xdr:col>10</xdr:col>
      <xdr:colOff>927565</xdr:colOff>
      <xdr:row>10</xdr:row>
      <xdr:rowOff>590681</xdr:rowOff>
    </xdr:to>
    <xdr:pic>
      <xdr:nvPicPr>
        <xdr:cNvPr id="52" name="Picture 51">
          <a:extLst>
            <a:ext uri="{FF2B5EF4-FFF2-40B4-BE49-F238E27FC236}">
              <a16:creationId xmlns="" xmlns:a16="http://schemas.microsoft.com/office/drawing/2014/main" id="{00000000-0008-0000-0400-000034000000}"/>
            </a:ext>
          </a:extLst>
        </xdr:cNvPr>
        <xdr:cNvPicPr>
          <a:picLocks noChangeAspect="1"/>
        </xdr:cNvPicPr>
      </xdr:nvPicPr>
      <xdr:blipFill>
        <a:blip xmlns:r="http://schemas.openxmlformats.org/officeDocument/2006/relationships" r:embed="rId3" cstate="print"/>
        <a:stretch>
          <a:fillRect/>
        </a:stretch>
      </xdr:blipFill>
      <xdr:spPr>
        <a:xfrm rot="19756698">
          <a:off x="25648560" y="12258553"/>
          <a:ext cx="434530" cy="495553"/>
        </a:xfrm>
        <a:prstGeom prst="rect">
          <a:avLst/>
        </a:prstGeom>
      </xdr:spPr>
    </xdr:pic>
    <xdr:clientData/>
  </xdr:twoCellAnchor>
  <xdr:twoCellAnchor>
    <xdr:from>
      <xdr:col>12</xdr:col>
      <xdr:colOff>231734</xdr:colOff>
      <xdr:row>9</xdr:row>
      <xdr:rowOff>3315193</xdr:rowOff>
    </xdr:from>
    <xdr:to>
      <xdr:col>12</xdr:col>
      <xdr:colOff>666264</xdr:colOff>
      <xdr:row>9</xdr:row>
      <xdr:rowOff>3810746</xdr:rowOff>
    </xdr:to>
    <xdr:pic>
      <xdr:nvPicPr>
        <xdr:cNvPr id="53" name="Picture 52">
          <a:extLst>
            <a:ext uri="{FF2B5EF4-FFF2-40B4-BE49-F238E27FC236}">
              <a16:creationId xmlns="" xmlns:a16="http://schemas.microsoft.com/office/drawing/2014/main" id="{00000000-0008-0000-0400-000035000000}"/>
            </a:ext>
          </a:extLst>
        </xdr:cNvPr>
        <xdr:cNvPicPr>
          <a:picLocks noChangeAspect="1"/>
        </xdr:cNvPicPr>
      </xdr:nvPicPr>
      <xdr:blipFill>
        <a:blip xmlns:r="http://schemas.openxmlformats.org/officeDocument/2006/relationships" r:embed="rId3" cstate="print"/>
        <a:stretch>
          <a:fillRect/>
        </a:stretch>
      </xdr:blipFill>
      <xdr:spPr>
        <a:xfrm rot="19756698">
          <a:off x="30797459" y="12163918"/>
          <a:ext cx="434530" cy="253"/>
        </a:xfrm>
        <a:prstGeom prst="rect">
          <a:avLst/>
        </a:prstGeom>
      </xdr:spPr>
    </xdr:pic>
    <xdr:clientData/>
  </xdr:twoCellAnchor>
  <xdr:twoCellAnchor>
    <xdr:from>
      <xdr:col>14</xdr:col>
      <xdr:colOff>509570</xdr:colOff>
      <xdr:row>14</xdr:row>
      <xdr:rowOff>65481</xdr:rowOff>
    </xdr:from>
    <xdr:to>
      <xdr:col>14</xdr:col>
      <xdr:colOff>944100</xdr:colOff>
      <xdr:row>14</xdr:row>
      <xdr:rowOff>561034</xdr:rowOff>
    </xdr:to>
    <xdr:pic>
      <xdr:nvPicPr>
        <xdr:cNvPr id="54" name="Picture 53">
          <a:extLst>
            <a:ext uri="{FF2B5EF4-FFF2-40B4-BE49-F238E27FC236}">
              <a16:creationId xmlns="" xmlns:a16="http://schemas.microsoft.com/office/drawing/2014/main" id="{00000000-0008-0000-0400-000036000000}"/>
            </a:ext>
          </a:extLst>
        </xdr:cNvPr>
        <xdr:cNvPicPr>
          <a:picLocks noChangeAspect="1"/>
        </xdr:cNvPicPr>
      </xdr:nvPicPr>
      <xdr:blipFill>
        <a:blip xmlns:r="http://schemas.openxmlformats.org/officeDocument/2006/relationships" r:embed="rId3" cstate="print"/>
        <a:stretch>
          <a:fillRect/>
        </a:stretch>
      </xdr:blipFill>
      <xdr:spPr>
        <a:xfrm rot="19756698">
          <a:off x="36485495" y="20077506"/>
          <a:ext cx="434530" cy="495553"/>
        </a:xfrm>
        <a:prstGeom prst="rect">
          <a:avLst/>
        </a:prstGeom>
      </xdr:spPr>
    </xdr:pic>
    <xdr:clientData/>
  </xdr:twoCellAnchor>
  <xdr:twoCellAnchor>
    <xdr:from>
      <xdr:col>7</xdr:col>
      <xdr:colOff>2658335</xdr:colOff>
      <xdr:row>8</xdr:row>
      <xdr:rowOff>84860</xdr:rowOff>
    </xdr:from>
    <xdr:to>
      <xdr:col>8</xdr:col>
      <xdr:colOff>366794</xdr:colOff>
      <xdr:row>8</xdr:row>
      <xdr:rowOff>760925</xdr:rowOff>
    </xdr:to>
    <xdr:pic>
      <xdr:nvPicPr>
        <xdr:cNvPr id="55" name="Picture 54">
          <a:extLst>
            <a:ext uri="{FF2B5EF4-FFF2-40B4-BE49-F238E27FC236}">
              <a16:creationId xmlns="" xmlns:a16="http://schemas.microsoft.com/office/drawing/2014/main" id="{00000000-0008-0000-0400-000037000000}"/>
            </a:ext>
          </a:extLst>
        </xdr:cNvPr>
        <xdr:cNvPicPr>
          <a:picLocks noChangeAspect="1"/>
        </xdr:cNvPicPr>
      </xdr:nvPicPr>
      <xdr:blipFill>
        <a:blip xmlns:r="http://schemas.openxmlformats.org/officeDocument/2006/relationships" r:embed="rId1"/>
        <a:stretch>
          <a:fillRect/>
        </a:stretch>
      </xdr:blipFill>
      <xdr:spPr>
        <a:xfrm rot="19756698">
          <a:off x="19698560" y="8323985"/>
          <a:ext cx="413559" cy="676065"/>
        </a:xfrm>
        <a:prstGeom prst="rect">
          <a:avLst/>
        </a:prstGeom>
      </xdr:spPr>
    </xdr:pic>
    <xdr:clientData/>
  </xdr:twoCellAnchor>
  <xdr:twoCellAnchor>
    <xdr:from>
      <xdr:col>6</xdr:col>
      <xdr:colOff>2798617</xdr:colOff>
      <xdr:row>9</xdr:row>
      <xdr:rowOff>5119254</xdr:rowOff>
    </xdr:from>
    <xdr:to>
      <xdr:col>7</xdr:col>
      <xdr:colOff>507075</xdr:colOff>
      <xdr:row>10</xdr:row>
      <xdr:rowOff>0</xdr:rowOff>
    </xdr:to>
    <xdr:pic>
      <xdr:nvPicPr>
        <xdr:cNvPr id="56" name="Picture 55">
          <a:extLst>
            <a:ext uri="{FF2B5EF4-FFF2-40B4-BE49-F238E27FC236}">
              <a16:creationId xmlns="" xmlns:a16="http://schemas.microsoft.com/office/drawing/2014/main" id="{00000000-0008-0000-0400-000038000000}"/>
            </a:ext>
          </a:extLst>
        </xdr:cNvPr>
        <xdr:cNvPicPr>
          <a:picLocks noChangeAspect="1"/>
        </xdr:cNvPicPr>
      </xdr:nvPicPr>
      <xdr:blipFill>
        <a:blip xmlns:r="http://schemas.openxmlformats.org/officeDocument/2006/relationships" r:embed="rId1"/>
        <a:stretch>
          <a:fillRect/>
        </a:stretch>
      </xdr:blipFill>
      <xdr:spPr>
        <a:xfrm rot="19756698">
          <a:off x="17038492" y="12167754"/>
          <a:ext cx="508808" cy="0"/>
        </a:xfrm>
        <a:prstGeom prst="rect">
          <a:avLst/>
        </a:prstGeom>
      </xdr:spPr>
    </xdr:pic>
    <xdr:clientData/>
  </xdr:twoCellAnchor>
  <xdr:twoCellAnchor>
    <xdr:from>
      <xdr:col>3</xdr:col>
      <xdr:colOff>304798</xdr:colOff>
      <xdr:row>5</xdr:row>
      <xdr:rowOff>0</xdr:rowOff>
    </xdr:from>
    <xdr:to>
      <xdr:col>3</xdr:col>
      <xdr:colOff>580732</xdr:colOff>
      <xdr:row>5</xdr:row>
      <xdr:rowOff>0</xdr:rowOff>
    </xdr:to>
    <xdr:pic>
      <xdr:nvPicPr>
        <xdr:cNvPr id="57" name="Picture 56">
          <a:extLst>
            <a:ext uri="{FF2B5EF4-FFF2-40B4-BE49-F238E27FC236}">
              <a16:creationId xmlns="" xmlns:a16="http://schemas.microsoft.com/office/drawing/2014/main" id="{00000000-0008-0000-0400-000039000000}"/>
            </a:ext>
          </a:extLst>
        </xdr:cNvPr>
        <xdr:cNvPicPr>
          <a:picLocks noChangeAspect="1"/>
        </xdr:cNvPicPr>
      </xdr:nvPicPr>
      <xdr:blipFill>
        <a:blip xmlns:r="http://schemas.openxmlformats.org/officeDocument/2006/relationships" r:embed="rId1"/>
        <a:stretch>
          <a:fillRect/>
        </a:stretch>
      </xdr:blipFill>
      <xdr:spPr>
        <a:xfrm rot="19756698">
          <a:off x="6524623" y="2352675"/>
          <a:ext cx="275934" cy="0"/>
        </a:xfrm>
        <a:prstGeom prst="rect">
          <a:avLst/>
        </a:prstGeom>
        <a:noFill/>
      </xdr:spPr>
    </xdr:pic>
    <xdr:clientData/>
  </xdr:twoCellAnchor>
  <xdr:twoCellAnchor>
    <xdr:from>
      <xdr:col>2</xdr:col>
      <xdr:colOff>262638</xdr:colOff>
      <xdr:row>5</xdr:row>
      <xdr:rowOff>1007631</xdr:rowOff>
    </xdr:from>
    <xdr:to>
      <xdr:col>2</xdr:col>
      <xdr:colOff>411690</xdr:colOff>
      <xdr:row>5</xdr:row>
      <xdr:rowOff>1127954</xdr:rowOff>
    </xdr:to>
    <xdr:sp macro="" textlink="">
      <xdr:nvSpPr>
        <xdr:cNvPr id="58" name="TextBox 57">
          <a:extLst>
            <a:ext uri="{FF2B5EF4-FFF2-40B4-BE49-F238E27FC236}">
              <a16:creationId xmlns="" xmlns:a16="http://schemas.microsoft.com/office/drawing/2014/main" id="{00000000-0008-0000-0400-00003A000000}"/>
            </a:ext>
          </a:extLst>
        </xdr:cNvPr>
        <xdr:cNvSpPr txBox="1"/>
      </xdr:nvSpPr>
      <xdr:spPr>
        <a:xfrm>
          <a:off x="3777363" y="3360306"/>
          <a:ext cx="149052" cy="120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 tIns="9144" rIns="9144" bIns="9144" rtlCol="0" anchor="t"/>
        <a:lstStyle/>
        <a:p>
          <a:endParaRPr lang="en-PH" sz="1100" b="1">
            <a:solidFill>
              <a:srgbClr val="FF0000"/>
            </a:solidFill>
            <a:latin typeface="Arial" charset="0"/>
            <a:ea typeface="Arial" charset="0"/>
            <a:cs typeface="Arial" charset="0"/>
          </a:endParaRPr>
        </a:p>
      </xdr:txBody>
    </xdr:sp>
    <xdr:clientData/>
  </xdr:twoCellAnchor>
  <xdr:twoCellAnchor>
    <xdr:from>
      <xdr:col>5</xdr:col>
      <xdr:colOff>578183</xdr:colOff>
      <xdr:row>5</xdr:row>
      <xdr:rowOff>313137</xdr:rowOff>
    </xdr:from>
    <xdr:to>
      <xdr:col>5</xdr:col>
      <xdr:colOff>2498423</xdr:colOff>
      <xdr:row>5</xdr:row>
      <xdr:rowOff>1684737</xdr:rowOff>
    </xdr:to>
    <xdr:sp macro="" textlink="">
      <xdr:nvSpPr>
        <xdr:cNvPr id="59" name="Rectangle 58">
          <a:extLst>
            <a:ext uri="{FF2B5EF4-FFF2-40B4-BE49-F238E27FC236}">
              <a16:creationId xmlns="" xmlns:a16="http://schemas.microsoft.com/office/drawing/2014/main" id="{00000000-0008-0000-0400-00003B000000}"/>
            </a:ext>
          </a:extLst>
        </xdr:cNvPr>
        <xdr:cNvSpPr/>
      </xdr:nvSpPr>
      <xdr:spPr>
        <a:xfrm>
          <a:off x="12208208" y="2665812"/>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Arial" charset="0"/>
              <a:ea typeface="Arial" charset="0"/>
              <a:cs typeface="Arial" charset="0"/>
            </a:rPr>
            <a:t>Initiate Manual Journal</a:t>
          </a:r>
          <a:r>
            <a:rPr lang="en-US" sz="1100" baseline="0">
              <a:latin typeface="Arial" charset="0"/>
              <a:ea typeface="Arial" charset="0"/>
              <a:cs typeface="Arial" charset="0"/>
            </a:rPr>
            <a:t> Entries (JE) in QAD</a:t>
          </a:r>
          <a:endParaRPr lang="en-US" sz="1100" baseline="0">
            <a:solidFill>
              <a:sysClr val="windowText" lastClr="000000"/>
            </a:solidFill>
            <a:latin typeface="Arial" charset="0"/>
            <a:ea typeface="Arial" charset="0"/>
            <a:cs typeface="Arial" charset="0"/>
          </a:endParaRPr>
        </a:p>
      </xdr:txBody>
    </xdr:sp>
    <xdr:clientData/>
  </xdr:twoCellAnchor>
  <xdr:twoCellAnchor>
    <xdr:from>
      <xdr:col>7</xdr:col>
      <xdr:colOff>248778</xdr:colOff>
      <xdr:row>5</xdr:row>
      <xdr:rowOff>313137</xdr:rowOff>
    </xdr:from>
    <xdr:to>
      <xdr:col>7</xdr:col>
      <xdr:colOff>2169018</xdr:colOff>
      <xdr:row>5</xdr:row>
      <xdr:rowOff>1684737</xdr:rowOff>
    </xdr:to>
    <xdr:sp macro="" textlink="">
      <xdr:nvSpPr>
        <xdr:cNvPr id="60" name="Rectangle 59">
          <a:extLst>
            <a:ext uri="{FF2B5EF4-FFF2-40B4-BE49-F238E27FC236}">
              <a16:creationId xmlns="" xmlns:a16="http://schemas.microsoft.com/office/drawing/2014/main" id="{00000000-0008-0000-0400-00003C000000}"/>
            </a:ext>
          </a:extLst>
        </xdr:cNvPr>
        <xdr:cNvSpPr/>
      </xdr:nvSpPr>
      <xdr:spPr>
        <a:xfrm>
          <a:off x="17289003" y="2665812"/>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ysClr val="windowText" lastClr="000000"/>
              </a:solidFill>
              <a:latin typeface="Arial" charset="0"/>
              <a:ea typeface="Arial" charset="0"/>
              <a:cs typeface="Arial" charset="0"/>
            </a:rPr>
            <a:t>Perform reconciliation for all balance sheet non-material</a:t>
          </a:r>
          <a:r>
            <a:rPr lang="en-US" sz="1100" baseline="0">
              <a:solidFill>
                <a:sysClr val="windowText" lastClr="000000"/>
              </a:solidFill>
              <a:latin typeface="Arial" charset="0"/>
              <a:ea typeface="Arial" charset="0"/>
              <a:cs typeface="Arial" charset="0"/>
            </a:rPr>
            <a:t> accounts</a:t>
          </a:r>
        </a:p>
      </xdr:txBody>
    </xdr:sp>
    <xdr:clientData/>
  </xdr:twoCellAnchor>
  <xdr:twoCellAnchor>
    <xdr:from>
      <xdr:col>2</xdr:col>
      <xdr:colOff>2265043</xdr:colOff>
      <xdr:row>4</xdr:row>
      <xdr:rowOff>979859</xdr:rowOff>
    </xdr:from>
    <xdr:to>
      <xdr:col>3</xdr:col>
      <xdr:colOff>574899</xdr:colOff>
      <xdr:row>4</xdr:row>
      <xdr:rowOff>979859</xdr:rowOff>
    </xdr:to>
    <xdr:cxnSp macro="">
      <xdr:nvCxnSpPr>
        <xdr:cNvPr id="61" name="Straight Arrow Connector 60">
          <a:extLst>
            <a:ext uri="{FF2B5EF4-FFF2-40B4-BE49-F238E27FC236}">
              <a16:creationId xmlns="" xmlns:a16="http://schemas.microsoft.com/office/drawing/2014/main" id="{00000000-0008-0000-0400-00003D000000}"/>
            </a:ext>
          </a:extLst>
        </xdr:cNvPr>
        <xdr:cNvCxnSpPr>
          <a:stCxn id="6" idx="3"/>
          <a:endCxn id="33" idx="1"/>
        </xdr:cNvCxnSpPr>
      </xdr:nvCxnSpPr>
      <xdr:spPr>
        <a:xfrm>
          <a:off x="5779768" y="1370384"/>
          <a:ext cx="1014956"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666361</xdr:colOff>
      <xdr:row>7</xdr:row>
      <xdr:rowOff>283058</xdr:rowOff>
    </xdr:from>
    <xdr:to>
      <xdr:col>4</xdr:col>
      <xdr:colOff>2586601</xdr:colOff>
      <xdr:row>7</xdr:row>
      <xdr:rowOff>1654658</xdr:rowOff>
    </xdr:to>
    <xdr:sp macro="" textlink="">
      <xdr:nvSpPr>
        <xdr:cNvPr id="62" name="Rectangle 61">
          <a:extLst>
            <a:ext uri="{FF2B5EF4-FFF2-40B4-BE49-F238E27FC236}">
              <a16:creationId xmlns="" xmlns:a16="http://schemas.microsoft.com/office/drawing/2014/main" id="{00000000-0008-0000-0400-00003E000000}"/>
            </a:ext>
          </a:extLst>
        </xdr:cNvPr>
        <xdr:cNvSpPr/>
      </xdr:nvSpPr>
      <xdr:spPr>
        <a:xfrm>
          <a:off x="9591286" y="6560033"/>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latin typeface="Arial" panose="020B0604020202020204" pitchFamily="34" charset="0"/>
              <a:ea typeface="Arial" charset="0"/>
              <a:cs typeface="Arial" panose="020B0604020202020204" pitchFamily="34" charset="0"/>
            </a:rPr>
            <a:t>Prepare the Month End Close Checklist and distribute to the Accounting Team</a:t>
          </a:r>
        </a:p>
      </xdr:txBody>
    </xdr:sp>
    <xdr:clientData/>
  </xdr:twoCellAnchor>
  <xdr:twoCellAnchor>
    <xdr:from>
      <xdr:col>3</xdr:col>
      <xdr:colOff>1155543</xdr:colOff>
      <xdr:row>7</xdr:row>
      <xdr:rowOff>735686</xdr:rowOff>
    </xdr:from>
    <xdr:to>
      <xdr:col>3</xdr:col>
      <xdr:colOff>1914495</xdr:colOff>
      <xdr:row>7</xdr:row>
      <xdr:rowOff>1202030</xdr:rowOff>
    </xdr:to>
    <xdr:sp macro="" textlink="">
      <xdr:nvSpPr>
        <xdr:cNvPr id="63" name="Flowchart: Terminator 14">
          <a:extLst>
            <a:ext uri="{FF2B5EF4-FFF2-40B4-BE49-F238E27FC236}">
              <a16:creationId xmlns="" xmlns:a16="http://schemas.microsoft.com/office/drawing/2014/main" id="{00000000-0008-0000-0400-00003F000000}"/>
            </a:ext>
          </a:extLst>
        </xdr:cNvPr>
        <xdr:cNvSpPr/>
      </xdr:nvSpPr>
      <xdr:spPr>
        <a:xfrm>
          <a:off x="7375368" y="7012661"/>
          <a:ext cx="758952" cy="466344"/>
        </a:xfrm>
        <a:prstGeom prst="flowChartTerminator">
          <a:avLst/>
        </a:prstGeom>
        <a:no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PH" sz="1100">
              <a:solidFill>
                <a:sysClr val="windowText" lastClr="000000"/>
              </a:solidFill>
              <a:latin typeface="Arial" panose="020B0604020202020204" pitchFamily="34" charset="0"/>
              <a:cs typeface="Arial" panose="020B0604020202020204" pitchFamily="34" charset="0"/>
            </a:rPr>
            <a:t>Start</a:t>
          </a:r>
        </a:p>
      </xdr:txBody>
    </xdr:sp>
    <xdr:clientData/>
  </xdr:twoCellAnchor>
  <xdr:twoCellAnchor>
    <xdr:from>
      <xdr:col>3</xdr:col>
      <xdr:colOff>1914495</xdr:colOff>
      <xdr:row>7</xdr:row>
      <xdr:rowOff>968858</xdr:rowOff>
    </xdr:from>
    <xdr:to>
      <xdr:col>4</xdr:col>
      <xdr:colOff>666361</xdr:colOff>
      <xdr:row>7</xdr:row>
      <xdr:rowOff>968858</xdr:rowOff>
    </xdr:to>
    <xdr:cxnSp macro="">
      <xdr:nvCxnSpPr>
        <xdr:cNvPr id="64" name="Straight Arrow Connector 63">
          <a:extLst>
            <a:ext uri="{FF2B5EF4-FFF2-40B4-BE49-F238E27FC236}">
              <a16:creationId xmlns="" xmlns:a16="http://schemas.microsoft.com/office/drawing/2014/main" id="{00000000-0008-0000-0400-000040000000}"/>
            </a:ext>
          </a:extLst>
        </xdr:cNvPr>
        <xdr:cNvCxnSpPr>
          <a:stCxn id="63" idx="3"/>
          <a:endCxn id="62" idx="1"/>
        </xdr:cNvCxnSpPr>
      </xdr:nvCxnSpPr>
      <xdr:spPr>
        <a:xfrm>
          <a:off x="8134320" y="7245833"/>
          <a:ext cx="1456966"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2586601</xdr:colOff>
      <xdr:row>5</xdr:row>
      <xdr:rowOff>1684737</xdr:rowOff>
    </xdr:from>
    <xdr:to>
      <xdr:col>5</xdr:col>
      <xdr:colOff>1538303</xdr:colOff>
      <xdr:row>7</xdr:row>
      <xdr:rowOff>968858</xdr:rowOff>
    </xdr:to>
    <xdr:cxnSp macro="">
      <xdr:nvCxnSpPr>
        <xdr:cNvPr id="65" name="Connector: Elbow 64">
          <a:extLst>
            <a:ext uri="{FF2B5EF4-FFF2-40B4-BE49-F238E27FC236}">
              <a16:creationId xmlns="" xmlns:a16="http://schemas.microsoft.com/office/drawing/2014/main" id="{00000000-0008-0000-0400-000041000000}"/>
            </a:ext>
          </a:extLst>
        </xdr:cNvPr>
        <xdr:cNvCxnSpPr>
          <a:stCxn id="62" idx="3"/>
          <a:endCxn id="59" idx="2"/>
        </xdr:cNvCxnSpPr>
      </xdr:nvCxnSpPr>
      <xdr:spPr>
        <a:xfrm flipV="1">
          <a:off x="11511526" y="4037412"/>
          <a:ext cx="1656802" cy="3208421"/>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2495139</xdr:colOff>
      <xdr:row>4</xdr:row>
      <xdr:rowOff>979859</xdr:rowOff>
    </xdr:from>
    <xdr:to>
      <xdr:col>4</xdr:col>
      <xdr:colOff>666361</xdr:colOff>
      <xdr:row>4</xdr:row>
      <xdr:rowOff>979859</xdr:rowOff>
    </xdr:to>
    <xdr:cxnSp macro="">
      <xdr:nvCxnSpPr>
        <xdr:cNvPr id="66" name="Straight Arrow Connector 65">
          <a:extLst>
            <a:ext uri="{FF2B5EF4-FFF2-40B4-BE49-F238E27FC236}">
              <a16:creationId xmlns="" xmlns:a16="http://schemas.microsoft.com/office/drawing/2014/main" id="{00000000-0008-0000-0400-000042000000}"/>
            </a:ext>
          </a:extLst>
        </xdr:cNvPr>
        <xdr:cNvCxnSpPr>
          <a:stCxn id="33" idx="4"/>
          <a:endCxn id="69" idx="1"/>
        </xdr:cNvCxnSpPr>
      </xdr:nvCxnSpPr>
      <xdr:spPr>
        <a:xfrm>
          <a:off x="8714964" y="1370384"/>
          <a:ext cx="876322"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2498423</xdr:colOff>
      <xdr:row>5</xdr:row>
      <xdr:rowOff>998937</xdr:rowOff>
    </xdr:from>
    <xdr:to>
      <xdr:col>6</xdr:col>
      <xdr:colOff>1544984</xdr:colOff>
      <xdr:row>6</xdr:row>
      <xdr:rowOff>359512</xdr:rowOff>
    </xdr:to>
    <xdr:cxnSp macro="">
      <xdr:nvCxnSpPr>
        <xdr:cNvPr id="67" name="Connector: Elbow 66">
          <a:extLst>
            <a:ext uri="{FF2B5EF4-FFF2-40B4-BE49-F238E27FC236}">
              <a16:creationId xmlns="" xmlns:a16="http://schemas.microsoft.com/office/drawing/2014/main" id="{00000000-0008-0000-0400-000043000000}"/>
            </a:ext>
          </a:extLst>
        </xdr:cNvPr>
        <xdr:cNvCxnSpPr>
          <a:stCxn id="59" idx="3"/>
          <a:endCxn id="71" idx="0"/>
        </xdr:cNvCxnSpPr>
      </xdr:nvCxnSpPr>
      <xdr:spPr>
        <a:xfrm>
          <a:off x="14128448" y="3351612"/>
          <a:ext cx="1751661" cy="1322725"/>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2586601</xdr:colOff>
      <xdr:row>5</xdr:row>
      <xdr:rowOff>998937</xdr:rowOff>
    </xdr:from>
    <xdr:to>
      <xdr:col>5</xdr:col>
      <xdr:colOff>578183</xdr:colOff>
      <xdr:row>5</xdr:row>
      <xdr:rowOff>998937</xdr:rowOff>
    </xdr:to>
    <xdr:cxnSp macro="">
      <xdr:nvCxnSpPr>
        <xdr:cNvPr id="68" name="Straight Arrow Connector 67">
          <a:extLst>
            <a:ext uri="{FF2B5EF4-FFF2-40B4-BE49-F238E27FC236}">
              <a16:creationId xmlns="" xmlns:a16="http://schemas.microsoft.com/office/drawing/2014/main" id="{00000000-0008-0000-0400-000044000000}"/>
            </a:ext>
          </a:extLst>
        </xdr:cNvPr>
        <xdr:cNvCxnSpPr>
          <a:stCxn id="5" idx="3"/>
          <a:endCxn id="59" idx="1"/>
        </xdr:cNvCxnSpPr>
      </xdr:nvCxnSpPr>
      <xdr:spPr>
        <a:xfrm>
          <a:off x="11511526" y="3351612"/>
          <a:ext cx="696682"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666361</xdr:colOff>
      <xdr:row>4</xdr:row>
      <xdr:rowOff>294059</xdr:rowOff>
    </xdr:from>
    <xdr:to>
      <xdr:col>4</xdr:col>
      <xdr:colOff>2586601</xdr:colOff>
      <xdr:row>4</xdr:row>
      <xdr:rowOff>1665659</xdr:rowOff>
    </xdr:to>
    <xdr:sp macro="" textlink="">
      <xdr:nvSpPr>
        <xdr:cNvPr id="69" name="Rectangle 68">
          <a:extLst>
            <a:ext uri="{FF2B5EF4-FFF2-40B4-BE49-F238E27FC236}">
              <a16:creationId xmlns="" xmlns:a16="http://schemas.microsoft.com/office/drawing/2014/main" id="{00000000-0008-0000-0400-000045000000}"/>
            </a:ext>
          </a:extLst>
        </xdr:cNvPr>
        <xdr:cNvSpPr/>
      </xdr:nvSpPr>
      <xdr:spPr>
        <a:xfrm>
          <a:off x="9591286" y="684584"/>
          <a:ext cx="1920240" cy="1371600"/>
        </a:xfrm>
        <a:prstGeom prst="rect">
          <a:avLst/>
        </a:prstGeom>
        <a:noFill/>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Distribute Accrualify Unmatched Invoice list </a:t>
          </a:r>
        </a:p>
      </xdr:txBody>
    </xdr:sp>
    <xdr:clientData/>
  </xdr:twoCellAnchor>
  <xdr:twoCellAnchor>
    <xdr:from>
      <xdr:col>6</xdr:col>
      <xdr:colOff>2505104</xdr:colOff>
      <xdr:row>5</xdr:row>
      <xdr:rowOff>1684737</xdr:rowOff>
    </xdr:from>
    <xdr:to>
      <xdr:col>7</xdr:col>
      <xdr:colOff>1208898</xdr:colOff>
      <xdr:row>6</xdr:row>
      <xdr:rowOff>1045312</xdr:rowOff>
    </xdr:to>
    <xdr:cxnSp macro="">
      <xdr:nvCxnSpPr>
        <xdr:cNvPr id="70" name="Connector: Elbow 69">
          <a:extLst>
            <a:ext uri="{FF2B5EF4-FFF2-40B4-BE49-F238E27FC236}">
              <a16:creationId xmlns="" xmlns:a16="http://schemas.microsoft.com/office/drawing/2014/main" id="{00000000-0008-0000-0400-000046000000}"/>
            </a:ext>
          </a:extLst>
        </xdr:cNvPr>
        <xdr:cNvCxnSpPr>
          <a:stCxn id="71" idx="3"/>
          <a:endCxn id="60" idx="2"/>
        </xdr:cNvCxnSpPr>
      </xdr:nvCxnSpPr>
      <xdr:spPr>
        <a:xfrm flipV="1">
          <a:off x="16840229" y="4037412"/>
          <a:ext cx="1408894" cy="1322725"/>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584864</xdr:colOff>
      <xdr:row>6</xdr:row>
      <xdr:rowOff>359512</xdr:rowOff>
    </xdr:from>
    <xdr:to>
      <xdr:col>6</xdr:col>
      <xdr:colOff>2505104</xdr:colOff>
      <xdr:row>6</xdr:row>
      <xdr:rowOff>1731112</xdr:rowOff>
    </xdr:to>
    <xdr:sp macro="" textlink="">
      <xdr:nvSpPr>
        <xdr:cNvPr id="71" name="Rectangle 70">
          <a:extLst>
            <a:ext uri="{FF2B5EF4-FFF2-40B4-BE49-F238E27FC236}">
              <a16:creationId xmlns="" xmlns:a16="http://schemas.microsoft.com/office/drawing/2014/main" id="{00000000-0008-0000-0400-000047000000}"/>
            </a:ext>
          </a:extLst>
        </xdr:cNvPr>
        <xdr:cNvSpPr/>
      </xdr:nvSpPr>
      <xdr:spPr>
        <a:xfrm>
          <a:off x="14919989" y="4674337"/>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Review JE's against supporting documents</a:t>
          </a:r>
        </a:p>
        <a:p>
          <a:pPr algn="ctr"/>
          <a:r>
            <a:rPr lang="en-US" sz="1100" baseline="0">
              <a:solidFill>
                <a:sysClr val="windowText" lastClr="000000"/>
              </a:solidFill>
              <a:latin typeface="Arial" charset="0"/>
              <a:ea typeface="Arial" charset="0"/>
              <a:cs typeface="Arial" charset="0"/>
            </a:rPr>
            <a:t>(FCR 2.05, FCR 3.11, INV 3.09)</a:t>
          </a:r>
        </a:p>
      </xdr:txBody>
    </xdr:sp>
    <xdr:clientData/>
  </xdr:twoCellAnchor>
  <xdr:twoCellAnchor>
    <xdr:from>
      <xdr:col>6</xdr:col>
      <xdr:colOff>473362</xdr:colOff>
      <xdr:row>6</xdr:row>
      <xdr:rowOff>69273</xdr:rowOff>
    </xdr:from>
    <xdr:to>
      <xdr:col>6</xdr:col>
      <xdr:colOff>1022002</xdr:colOff>
      <xdr:row>6</xdr:row>
      <xdr:rowOff>745338</xdr:rowOff>
    </xdr:to>
    <xdr:pic>
      <xdr:nvPicPr>
        <xdr:cNvPr id="72" name="Picture 71">
          <a:extLst>
            <a:ext uri="{FF2B5EF4-FFF2-40B4-BE49-F238E27FC236}">
              <a16:creationId xmlns="" xmlns:a16="http://schemas.microsoft.com/office/drawing/2014/main" id="{00000000-0008-0000-0400-000048000000}"/>
            </a:ext>
          </a:extLst>
        </xdr:cNvPr>
        <xdr:cNvPicPr>
          <a:picLocks noChangeAspect="1"/>
        </xdr:cNvPicPr>
      </xdr:nvPicPr>
      <xdr:blipFill>
        <a:blip xmlns:r="http://schemas.openxmlformats.org/officeDocument/2006/relationships" r:embed="rId1"/>
        <a:stretch>
          <a:fillRect/>
        </a:stretch>
      </xdr:blipFill>
      <xdr:spPr>
        <a:xfrm rot="19756698">
          <a:off x="14808487" y="4384098"/>
          <a:ext cx="548640" cy="676065"/>
        </a:xfrm>
        <a:prstGeom prst="rect">
          <a:avLst/>
        </a:prstGeom>
      </xdr:spPr>
    </xdr:pic>
    <xdr:clientData/>
  </xdr:twoCellAnchor>
  <xdr:twoCellAnchor>
    <xdr:from>
      <xdr:col>7</xdr:col>
      <xdr:colOff>2169018</xdr:colOff>
      <xdr:row>5</xdr:row>
      <xdr:rowOff>998937</xdr:rowOff>
    </xdr:from>
    <xdr:to>
      <xdr:col>8</xdr:col>
      <xdr:colOff>953174</xdr:colOff>
      <xdr:row>6</xdr:row>
      <xdr:rowOff>359512</xdr:rowOff>
    </xdr:to>
    <xdr:cxnSp macro="">
      <xdr:nvCxnSpPr>
        <xdr:cNvPr id="73" name="Connector: Elbow 72">
          <a:extLst>
            <a:ext uri="{FF2B5EF4-FFF2-40B4-BE49-F238E27FC236}">
              <a16:creationId xmlns="" xmlns:a16="http://schemas.microsoft.com/office/drawing/2014/main" id="{00000000-0008-0000-0400-000049000000}"/>
            </a:ext>
          </a:extLst>
        </xdr:cNvPr>
        <xdr:cNvCxnSpPr>
          <a:stCxn id="60" idx="3"/>
          <a:endCxn id="12" idx="0"/>
        </xdr:cNvCxnSpPr>
      </xdr:nvCxnSpPr>
      <xdr:spPr>
        <a:xfrm>
          <a:off x="19209243" y="3351612"/>
          <a:ext cx="1489256" cy="1322725"/>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2717795</xdr:colOff>
      <xdr:row>8</xdr:row>
      <xdr:rowOff>1921163</xdr:rowOff>
    </xdr:from>
    <xdr:to>
      <xdr:col>8</xdr:col>
      <xdr:colOff>426254</xdr:colOff>
      <xdr:row>9</xdr:row>
      <xdr:rowOff>622955</xdr:rowOff>
    </xdr:to>
    <xdr:pic>
      <xdr:nvPicPr>
        <xdr:cNvPr id="74" name="Picture 73">
          <a:extLst>
            <a:ext uri="{FF2B5EF4-FFF2-40B4-BE49-F238E27FC236}">
              <a16:creationId xmlns="" xmlns:a16="http://schemas.microsoft.com/office/drawing/2014/main" id="{00000000-0008-0000-0400-00004A000000}"/>
            </a:ext>
          </a:extLst>
        </xdr:cNvPr>
        <xdr:cNvPicPr>
          <a:picLocks noChangeAspect="1"/>
        </xdr:cNvPicPr>
      </xdr:nvPicPr>
      <xdr:blipFill>
        <a:blip xmlns:r="http://schemas.openxmlformats.org/officeDocument/2006/relationships" r:embed="rId1"/>
        <a:stretch>
          <a:fillRect/>
        </a:stretch>
      </xdr:blipFill>
      <xdr:spPr>
        <a:xfrm rot="19756698">
          <a:off x="19748495" y="10160288"/>
          <a:ext cx="423084" cy="663942"/>
        </a:xfrm>
        <a:prstGeom prst="rect">
          <a:avLst/>
        </a:prstGeom>
      </xdr:spPr>
    </xdr:pic>
    <xdr:clientData/>
  </xdr:twoCellAnchor>
  <xdr:twoCellAnchor>
    <xdr:from>
      <xdr:col>7</xdr:col>
      <xdr:colOff>2836266</xdr:colOff>
      <xdr:row>9</xdr:row>
      <xdr:rowOff>282738</xdr:rowOff>
    </xdr:from>
    <xdr:to>
      <xdr:col>8</xdr:col>
      <xdr:colOff>1911706</xdr:colOff>
      <xdr:row>9</xdr:row>
      <xdr:rowOff>1654338</xdr:rowOff>
    </xdr:to>
    <xdr:sp macro="" textlink="">
      <xdr:nvSpPr>
        <xdr:cNvPr id="75" name="Rectangle 74">
          <a:extLst>
            <a:ext uri="{FF2B5EF4-FFF2-40B4-BE49-F238E27FC236}">
              <a16:creationId xmlns="" xmlns:a16="http://schemas.microsoft.com/office/drawing/2014/main" id="{00000000-0008-0000-0400-00004B000000}"/>
            </a:ext>
          </a:extLst>
        </xdr:cNvPr>
        <xdr:cNvSpPr/>
      </xdr:nvSpPr>
      <xdr:spPr>
        <a:xfrm>
          <a:off x="19743141" y="10484013"/>
          <a:ext cx="191389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ysClr val="windowText" lastClr="000000"/>
              </a:solidFill>
              <a:latin typeface="Arial" charset="0"/>
              <a:ea typeface="Arial" charset="0"/>
              <a:cs typeface="Arial" charset="0"/>
            </a:rPr>
            <a:t>Review</a:t>
          </a:r>
          <a:r>
            <a:rPr lang="en-US" sz="1100" baseline="0">
              <a:solidFill>
                <a:sysClr val="windowText" lastClr="000000"/>
              </a:solidFill>
              <a:latin typeface="Arial" charset="0"/>
              <a:ea typeface="Arial" charset="0"/>
              <a:cs typeface="Arial" charset="0"/>
            </a:rPr>
            <a:t> approved reconciliations against the Trial Balance</a:t>
          </a:r>
        </a:p>
        <a:p>
          <a:pPr algn="ctr"/>
          <a:r>
            <a:rPr lang="en-US" sz="1100" baseline="0">
              <a:solidFill>
                <a:sysClr val="windowText" lastClr="000000"/>
              </a:solidFill>
              <a:latin typeface="Arial" charset="0"/>
              <a:ea typeface="Arial" charset="0"/>
              <a:cs typeface="Arial" charset="0"/>
            </a:rPr>
            <a:t>(FCR 4.04)</a:t>
          </a:r>
        </a:p>
      </xdr:txBody>
    </xdr:sp>
    <xdr:clientData/>
  </xdr:twoCellAnchor>
  <xdr:twoCellAnchor>
    <xdr:from>
      <xdr:col>8</xdr:col>
      <xdr:colOff>1911706</xdr:colOff>
      <xdr:row>7</xdr:row>
      <xdr:rowOff>1654658</xdr:rowOff>
    </xdr:from>
    <xdr:to>
      <xdr:col>9</xdr:col>
      <xdr:colOff>1458765</xdr:colOff>
      <xdr:row>9</xdr:row>
      <xdr:rowOff>968538</xdr:rowOff>
    </xdr:to>
    <xdr:cxnSp macro="">
      <xdr:nvCxnSpPr>
        <xdr:cNvPr id="76" name="Connector: Elbow 75">
          <a:extLst>
            <a:ext uri="{FF2B5EF4-FFF2-40B4-BE49-F238E27FC236}">
              <a16:creationId xmlns="" xmlns:a16="http://schemas.microsoft.com/office/drawing/2014/main" id="{00000000-0008-0000-0400-00004C000000}"/>
            </a:ext>
          </a:extLst>
        </xdr:cNvPr>
        <xdr:cNvCxnSpPr>
          <a:stCxn id="37" idx="2"/>
          <a:endCxn id="75" idx="3"/>
        </xdr:cNvCxnSpPr>
      </xdr:nvCxnSpPr>
      <xdr:spPr>
        <a:xfrm rot="5400000">
          <a:off x="21164021" y="8424643"/>
          <a:ext cx="3238180" cy="2252159"/>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2418885</xdr:colOff>
      <xdr:row>7</xdr:row>
      <xdr:rowOff>968858</xdr:rowOff>
    </xdr:from>
    <xdr:to>
      <xdr:col>10</xdr:col>
      <xdr:colOff>1607556</xdr:colOff>
      <xdr:row>9</xdr:row>
      <xdr:rowOff>282738</xdr:rowOff>
    </xdr:to>
    <xdr:cxnSp macro="">
      <xdr:nvCxnSpPr>
        <xdr:cNvPr id="77" name="Connector: Elbow 76">
          <a:extLst>
            <a:ext uri="{FF2B5EF4-FFF2-40B4-BE49-F238E27FC236}">
              <a16:creationId xmlns="" xmlns:a16="http://schemas.microsoft.com/office/drawing/2014/main" id="{00000000-0008-0000-0400-00004D000000}"/>
            </a:ext>
          </a:extLst>
        </xdr:cNvPr>
        <xdr:cNvCxnSpPr>
          <a:stCxn id="37" idx="3"/>
          <a:endCxn id="34" idx="0"/>
        </xdr:cNvCxnSpPr>
      </xdr:nvCxnSpPr>
      <xdr:spPr>
        <a:xfrm>
          <a:off x="24869310" y="7245833"/>
          <a:ext cx="1893771" cy="3238180"/>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463067</xdr:colOff>
      <xdr:row>9</xdr:row>
      <xdr:rowOff>282738</xdr:rowOff>
    </xdr:from>
    <xdr:to>
      <xdr:col>11</xdr:col>
      <xdr:colOff>2383307</xdr:colOff>
      <xdr:row>9</xdr:row>
      <xdr:rowOff>1654338</xdr:rowOff>
    </xdr:to>
    <xdr:sp macro="" textlink="">
      <xdr:nvSpPr>
        <xdr:cNvPr id="78" name="Rectangle 77">
          <a:extLst>
            <a:ext uri="{FF2B5EF4-FFF2-40B4-BE49-F238E27FC236}">
              <a16:creationId xmlns="" xmlns:a16="http://schemas.microsoft.com/office/drawing/2014/main" id="{00000000-0008-0000-0400-00004E000000}"/>
            </a:ext>
          </a:extLst>
        </xdr:cNvPr>
        <xdr:cNvSpPr/>
      </xdr:nvSpPr>
      <xdr:spPr>
        <a:xfrm>
          <a:off x="28323692" y="10484013"/>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Financial Statement, along with schedules</a:t>
          </a:r>
        </a:p>
        <a:p>
          <a:pPr algn="ctr"/>
          <a:r>
            <a:rPr lang="en-US" sz="1100" baseline="0">
              <a:solidFill>
                <a:sysClr val="windowText" lastClr="000000"/>
              </a:solidFill>
              <a:latin typeface="Arial" charset="0"/>
              <a:ea typeface="Arial" charset="0"/>
              <a:cs typeface="Arial" charset="0"/>
            </a:rPr>
            <a:t>(FCR 6.07, ESA 5.01, ESA 5.02)</a:t>
          </a:r>
        </a:p>
      </xdr:txBody>
    </xdr:sp>
    <xdr:clientData/>
  </xdr:twoCellAnchor>
  <xdr:twoCellAnchor>
    <xdr:from>
      <xdr:col>12</xdr:col>
      <xdr:colOff>214142</xdr:colOff>
      <xdr:row>10</xdr:row>
      <xdr:rowOff>262593</xdr:rowOff>
    </xdr:from>
    <xdr:to>
      <xdr:col>12</xdr:col>
      <xdr:colOff>2134382</xdr:colOff>
      <xdr:row>10</xdr:row>
      <xdr:rowOff>1634193</xdr:rowOff>
    </xdr:to>
    <xdr:sp macro="" textlink="">
      <xdr:nvSpPr>
        <xdr:cNvPr id="79" name="Rectangle 78">
          <a:extLst>
            <a:ext uri="{FF2B5EF4-FFF2-40B4-BE49-F238E27FC236}">
              <a16:creationId xmlns="" xmlns:a16="http://schemas.microsoft.com/office/drawing/2014/main" id="{00000000-0008-0000-0400-00004F000000}"/>
            </a:ext>
          </a:extLst>
        </xdr:cNvPr>
        <xdr:cNvSpPr/>
      </xdr:nvSpPr>
      <xdr:spPr>
        <a:xfrm>
          <a:off x="30779867" y="12426018"/>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Draft financial statements in Active Disclosure</a:t>
          </a:r>
        </a:p>
      </xdr:txBody>
    </xdr:sp>
    <xdr:clientData/>
  </xdr:twoCellAnchor>
  <xdr:twoCellAnchor>
    <xdr:from>
      <xdr:col>11</xdr:col>
      <xdr:colOff>2383307</xdr:colOff>
      <xdr:row>9</xdr:row>
      <xdr:rowOff>968538</xdr:rowOff>
    </xdr:from>
    <xdr:to>
      <xdr:col>12</xdr:col>
      <xdr:colOff>1174262</xdr:colOff>
      <xdr:row>10</xdr:row>
      <xdr:rowOff>262593</xdr:rowOff>
    </xdr:to>
    <xdr:cxnSp macro="">
      <xdr:nvCxnSpPr>
        <xdr:cNvPr id="80" name="Connector: Elbow 79">
          <a:extLst>
            <a:ext uri="{FF2B5EF4-FFF2-40B4-BE49-F238E27FC236}">
              <a16:creationId xmlns="" xmlns:a16="http://schemas.microsoft.com/office/drawing/2014/main" id="{00000000-0008-0000-0400-000050000000}"/>
            </a:ext>
          </a:extLst>
        </xdr:cNvPr>
        <xdr:cNvCxnSpPr>
          <a:stCxn id="78" idx="3"/>
          <a:endCxn id="79" idx="0"/>
        </xdr:cNvCxnSpPr>
      </xdr:nvCxnSpPr>
      <xdr:spPr>
        <a:xfrm>
          <a:off x="30243932" y="11169813"/>
          <a:ext cx="1496055" cy="1256205"/>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214142</xdr:colOff>
      <xdr:row>11</xdr:row>
      <xdr:rowOff>316213</xdr:rowOff>
    </xdr:from>
    <xdr:to>
      <xdr:col>12</xdr:col>
      <xdr:colOff>2134382</xdr:colOff>
      <xdr:row>11</xdr:row>
      <xdr:rowOff>1687813</xdr:rowOff>
    </xdr:to>
    <xdr:sp macro="" textlink="">
      <xdr:nvSpPr>
        <xdr:cNvPr id="81" name="Rectangle 80">
          <a:extLst>
            <a:ext uri="{FF2B5EF4-FFF2-40B4-BE49-F238E27FC236}">
              <a16:creationId xmlns="" xmlns:a16="http://schemas.microsoft.com/office/drawing/2014/main" id="{00000000-0008-0000-0400-000051000000}"/>
            </a:ext>
          </a:extLst>
        </xdr:cNvPr>
        <xdr:cNvSpPr/>
      </xdr:nvSpPr>
      <xdr:spPr>
        <a:xfrm>
          <a:off x="30779867" y="14441788"/>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Complete Disclosure Checklist</a:t>
          </a:r>
        </a:p>
      </xdr:txBody>
    </xdr:sp>
    <xdr:clientData/>
  </xdr:twoCellAnchor>
  <xdr:twoCellAnchor>
    <xdr:from>
      <xdr:col>13</xdr:col>
      <xdr:colOff>358922</xdr:colOff>
      <xdr:row>9</xdr:row>
      <xdr:rowOff>282738</xdr:rowOff>
    </xdr:from>
    <xdr:to>
      <xdr:col>13</xdr:col>
      <xdr:colOff>2279162</xdr:colOff>
      <xdr:row>9</xdr:row>
      <xdr:rowOff>1654338</xdr:rowOff>
    </xdr:to>
    <xdr:sp macro="" textlink="">
      <xdr:nvSpPr>
        <xdr:cNvPr id="82" name="Rectangle 81">
          <a:extLst>
            <a:ext uri="{FF2B5EF4-FFF2-40B4-BE49-F238E27FC236}">
              <a16:creationId xmlns="" xmlns:a16="http://schemas.microsoft.com/office/drawing/2014/main" id="{00000000-0008-0000-0400-000052000000}"/>
            </a:ext>
          </a:extLst>
        </xdr:cNvPr>
        <xdr:cNvSpPr/>
      </xdr:nvSpPr>
      <xdr:spPr>
        <a:xfrm>
          <a:off x="33629747" y="10484013"/>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Review and approve Disclosure Checklist</a:t>
          </a:r>
        </a:p>
        <a:p>
          <a:pPr algn="ctr"/>
          <a:r>
            <a:rPr lang="en-US" sz="1100" baseline="0">
              <a:solidFill>
                <a:sysClr val="windowText" lastClr="000000"/>
              </a:solidFill>
              <a:latin typeface="Arial" charset="0"/>
              <a:ea typeface="Arial" charset="0"/>
              <a:cs typeface="Arial" charset="0"/>
            </a:rPr>
            <a:t>(FCR 6.09)</a:t>
          </a:r>
        </a:p>
      </xdr:txBody>
    </xdr:sp>
    <xdr:clientData/>
  </xdr:twoCellAnchor>
  <xdr:twoCellAnchor>
    <xdr:from>
      <xdr:col>12</xdr:col>
      <xdr:colOff>1174262</xdr:colOff>
      <xdr:row>10</xdr:row>
      <xdr:rowOff>1634193</xdr:rowOff>
    </xdr:from>
    <xdr:to>
      <xdr:col>12</xdr:col>
      <xdr:colOff>1174262</xdr:colOff>
      <xdr:row>11</xdr:row>
      <xdr:rowOff>316213</xdr:rowOff>
    </xdr:to>
    <xdr:cxnSp macro="">
      <xdr:nvCxnSpPr>
        <xdr:cNvPr id="83" name="Straight Arrow Connector 82">
          <a:extLst>
            <a:ext uri="{FF2B5EF4-FFF2-40B4-BE49-F238E27FC236}">
              <a16:creationId xmlns="" xmlns:a16="http://schemas.microsoft.com/office/drawing/2014/main" id="{00000000-0008-0000-0400-000053000000}"/>
            </a:ext>
          </a:extLst>
        </xdr:cNvPr>
        <xdr:cNvCxnSpPr>
          <a:stCxn id="79" idx="2"/>
          <a:endCxn id="81" idx="0"/>
        </xdr:cNvCxnSpPr>
      </xdr:nvCxnSpPr>
      <xdr:spPr>
        <a:xfrm>
          <a:off x="31739987" y="13797618"/>
          <a:ext cx="0" cy="64417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2134382</xdr:colOff>
      <xdr:row>9</xdr:row>
      <xdr:rowOff>1654338</xdr:rowOff>
    </xdr:from>
    <xdr:to>
      <xdr:col>13</xdr:col>
      <xdr:colOff>1319042</xdr:colOff>
      <xdr:row>11</xdr:row>
      <xdr:rowOff>1002013</xdr:rowOff>
    </xdr:to>
    <xdr:cxnSp macro="">
      <xdr:nvCxnSpPr>
        <xdr:cNvPr id="84" name="Connector: Elbow 83">
          <a:extLst>
            <a:ext uri="{FF2B5EF4-FFF2-40B4-BE49-F238E27FC236}">
              <a16:creationId xmlns="" xmlns:a16="http://schemas.microsoft.com/office/drawing/2014/main" id="{00000000-0008-0000-0400-000054000000}"/>
            </a:ext>
          </a:extLst>
        </xdr:cNvPr>
        <xdr:cNvCxnSpPr>
          <a:stCxn id="81" idx="3"/>
          <a:endCxn id="82" idx="2"/>
        </xdr:cNvCxnSpPr>
      </xdr:nvCxnSpPr>
      <xdr:spPr>
        <a:xfrm flipV="1">
          <a:off x="32700107" y="11855613"/>
          <a:ext cx="1889760" cy="3271975"/>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652815</xdr:colOff>
      <xdr:row>12</xdr:row>
      <xdr:rowOff>183573</xdr:rowOff>
    </xdr:from>
    <xdr:to>
      <xdr:col>14</xdr:col>
      <xdr:colOff>2573055</xdr:colOff>
      <xdr:row>12</xdr:row>
      <xdr:rowOff>1555173</xdr:rowOff>
    </xdr:to>
    <xdr:sp macro="" textlink="">
      <xdr:nvSpPr>
        <xdr:cNvPr id="85" name="Rectangle 84">
          <a:extLst>
            <a:ext uri="{FF2B5EF4-FFF2-40B4-BE49-F238E27FC236}">
              <a16:creationId xmlns="" xmlns:a16="http://schemas.microsoft.com/office/drawing/2014/main" id="{00000000-0008-0000-0400-000055000000}"/>
            </a:ext>
          </a:extLst>
        </xdr:cNvPr>
        <xdr:cNvSpPr/>
      </xdr:nvSpPr>
      <xdr:spPr>
        <a:xfrm>
          <a:off x="36628740" y="16271298"/>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Review and approve the tied out 10Q/10K and discuss any disclosure not noted</a:t>
          </a:r>
        </a:p>
        <a:p>
          <a:pPr algn="ctr"/>
          <a:r>
            <a:rPr lang="en-US" sz="1100" baseline="0">
              <a:solidFill>
                <a:sysClr val="windowText" lastClr="000000"/>
              </a:solidFill>
              <a:latin typeface="Arial" charset="0"/>
              <a:ea typeface="Arial" charset="0"/>
              <a:cs typeface="Arial" charset="0"/>
            </a:rPr>
            <a:t>(ELC 1.22)</a:t>
          </a:r>
        </a:p>
      </xdr:txBody>
    </xdr:sp>
    <xdr:clientData/>
  </xdr:twoCellAnchor>
  <xdr:twoCellAnchor>
    <xdr:from>
      <xdr:col>13</xdr:col>
      <xdr:colOff>2279162</xdr:colOff>
      <xdr:row>9</xdr:row>
      <xdr:rowOff>968538</xdr:rowOff>
    </xdr:from>
    <xdr:to>
      <xdr:col>14</xdr:col>
      <xdr:colOff>1612935</xdr:colOff>
      <xdr:row>10</xdr:row>
      <xdr:rowOff>262593</xdr:rowOff>
    </xdr:to>
    <xdr:cxnSp macro="">
      <xdr:nvCxnSpPr>
        <xdr:cNvPr id="86" name="Connector: Elbow 85">
          <a:extLst>
            <a:ext uri="{FF2B5EF4-FFF2-40B4-BE49-F238E27FC236}">
              <a16:creationId xmlns="" xmlns:a16="http://schemas.microsoft.com/office/drawing/2014/main" id="{00000000-0008-0000-0400-000056000000}"/>
            </a:ext>
          </a:extLst>
        </xdr:cNvPr>
        <xdr:cNvCxnSpPr>
          <a:stCxn id="82" idx="3"/>
          <a:endCxn id="42" idx="0"/>
        </xdr:cNvCxnSpPr>
      </xdr:nvCxnSpPr>
      <xdr:spPr>
        <a:xfrm>
          <a:off x="35549987" y="11169813"/>
          <a:ext cx="2038873" cy="1256205"/>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1612935</xdr:colOff>
      <xdr:row>10</xdr:row>
      <xdr:rowOff>1634193</xdr:rowOff>
    </xdr:from>
    <xdr:to>
      <xdr:col>14</xdr:col>
      <xdr:colOff>1612935</xdr:colOff>
      <xdr:row>12</xdr:row>
      <xdr:rowOff>183573</xdr:rowOff>
    </xdr:to>
    <xdr:cxnSp macro="">
      <xdr:nvCxnSpPr>
        <xdr:cNvPr id="87" name="Straight Arrow Connector 86">
          <a:extLst>
            <a:ext uri="{FF2B5EF4-FFF2-40B4-BE49-F238E27FC236}">
              <a16:creationId xmlns="" xmlns:a16="http://schemas.microsoft.com/office/drawing/2014/main" id="{00000000-0008-0000-0400-000057000000}"/>
            </a:ext>
          </a:extLst>
        </xdr:cNvPr>
        <xdr:cNvCxnSpPr>
          <a:stCxn id="42" idx="2"/>
          <a:endCxn id="85" idx="0"/>
        </xdr:cNvCxnSpPr>
      </xdr:nvCxnSpPr>
      <xdr:spPr>
        <a:xfrm>
          <a:off x="37588860" y="13797618"/>
          <a:ext cx="0" cy="247368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407969</xdr:colOff>
      <xdr:row>13</xdr:row>
      <xdr:rowOff>10062</xdr:rowOff>
    </xdr:from>
    <xdr:to>
      <xdr:col>14</xdr:col>
      <xdr:colOff>842499</xdr:colOff>
      <xdr:row>13</xdr:row>
      <xdr:rowOff>505615</xdr:rowOff>
    </xdr:to>
    <xdr:pic>
      <xdr:nvPicPr>
        <xdr:cNvPr id="88" name="Picture 87">
          <a:extLst>
            <a:ext uri="{FF2B5EF4-FFF2-40B4-BE49-F238E27FC236}">
              <a16:creationId xmlns="" xmlns:a16="http://schemas.microsoft.com/office/drawing/2014/main" id="{00000000-0008-0000-0400-000058000000}"/>
            </a:ext>
          </a:extLst>
        </xdr:cNvPr>
        <xdr:cNvPicPr>
          <a:picLocks noChangeAspect="1"/>
        </xdr:cNvPicPr>
      </xdr:nvPicPr>
      <xdr:blipFill>
        <a:blip xmlns:r="http://schemas.openxmlformats.org/officeDocument/2006/relationships" r:embed="rId3" cstate="print"/>
        <a:stretch>
          <a:fillRect/>
        </a:stretch>
      </xdr:blipFill>
      <xdr:spPr>
        <a:xfrm rot="19756698">
          <a:off x="36383894" y="18059937"/>
          <a:ext cx="434530" cy="495553"/>
        </a:xfrm>
        <a:prstGeom prst="rect">
          <a:avLst/>
        </a:prstGeom>
      </xdr:spPr>
    </xdr:pic>
    <xdr:clientData/>
  </xdr:twoCellAnchor>
  <xdr:twoCellAnchor>
    <xdr:from>
      <xdr:col>14</xdr:col>
      <xdr:colOff>479551</xdr:colOff>
      <xdr:row>12</xdr:row>
      <xdr:rowOff>825</xdr:rowOff>
    </xdr:from>
    <xdr:to>
      <xdr:col>14</xdr:col>
      <xdr:colOff>914081</xdr:colOff>
      <xdr:row>12</xdr:row>
      <xdr:rowOff>496378</xdr:rowOff>
    </xdr:to>
    <xdr:pic>
      <xdr:nvPicPr>
        <xdr:cNvPr id="89" name="Picture 88">
          <a:extLst>
            <a:ext uri="{FF2B5EF4-FFF2-40B4-BE49-F238E27FC236}">
              <a16:creationId xmlns="" xmlns:a16="http://schemas.microsoft.com/office/drawing/2014/main" id="{00000000-0008-0000-0400-000059000000}"/>
            </a:ext>
          </a:extLst>
        </xdr:cNvPr>
        <xdr:cNvPicPr>
          <a:picLocks noChangeAspect="1"/>
        </xdr:cNvPicPr>
      </xdr:nvPicPr>
      <xdr:blipFill>
        <a:blip xmlns:r="http://schemas.openxmlformats.org/officeDocument/2006/relationships" r:embed="rId3" cstate="print"/>
        <a:stretch>
          <a:fillRect/>
        </a:stretch>
      </xdr:blipFill>
      <xdr:spPr>
        <a:xfrm rot="19756698">
          <a:off x="36455476" y="16088550"/>
          <a:ext cx="434530" cy="495553"/>
        </a:xfrm>
        <a:prstGeom prst="rect">
          <a:avLst/>
        </a:prstGeom>
      </xdr:spPr>
    </xdr:pic>
    <xdr:clientData/>
  </xdr:twoCellAnchor>
  <xdr:twoCellAnchor>
    <xdr:from>
      <xdr:col>14</xdr:col>
      <xdr:colOff>516496</xdr:colOff>
      <xdr:row>10</xdr:row>
      <xdr:rowOff>82508</xdr:rowOff>
    </xdr:from>
    <xdr:to>
      <xdr:col>14</xdr:col>
      <xdr:colOff>951026</xdr:colOff>
      <xdr:row>10</xdr:row>
      <xdr:rowOff>578061</xdr:rowOff>
    </xdr:to>
    <xdr:pic>
      <xdr:nvPicPr>
        <xdr:cNvPr id="90" name="Picture 89">
          <a:extLst>
            <a:ext uri="{FF2B5EF4-FFF2-40B4-BE49-F238E27FC236}">
              <a16:creationId xmlns="" xmlns:a16="http://schemas.microsoft.com/office/drawing/2014/main" id="{00000000-0008-0000-0400-00005A000000}"/>
            </a:ext>
          </a:extLst>
        </xdr:cNvPr>
        <xdr:cNvPicPr>
          <a:picLocks noChangeAspect="1"/>
        </xdr:cNvPicPr>
      </xdr:nvPicPr>
      <xdr:blipFill>
        <a:blip xmlns:r="http://schemas.openxmlformats.org/officeDocument/2006/relationships" r:embed="rId3" cstate="print"/>
        <a:stretch>
          <a:fillRect/>
        </a:stretch>
      </xdr:blipFill>
      <xdr:spPr>
        <a:xfrm rot="19756698">
          <a:off x="36492421" y="12245933"/>
          <a:ext cx="434530" cy="495553"/>
        </a:xfrm>
        <a:prstGeom prst="rect">
          <a:avLst/>
        </a:prstGeom>
      </xdr:spPr>
    </xdr:pic>
    <xdr:clientData/>
  </xdr:twoCellAnchor>
  <xdr:twoCellAnchor>
    <xdr:from>
      <xdr:col>11</xdr:col>
      <xdr:colOff>463067</xdr:colOff>
      <xdr:row>4</xdr:row>
      <xdr:rowOff>294059</xdr:rowOff>
    </xdr:from>
    <xdr:to>
      <xdr:col>11</xdr:col>
      <xdr:colOff>2383307</xdr:colOff>
      <xdr:row>4</xdr:row>
      <xdr:rowOff>1665659</xdr:rowOff>
    </xdr:to>
    <xdr:sp macro="" textlink="">
      <xdr:nvSpPr>
        <xdr:cNvPr id="91" name="Rectangle 90">
          <a:extLst>
            <a:ext uri="{FF2B5EF4-FFF2-40B4-BE49-F238E27FC236}">
              <a16:creationId xmlns="" xmlns:a16="http://schemas.microsoft.com/office/drawing/2014/main" id="{00000000-0008-0000-0400-00005B000000}"/>
            </a:ext>
          </a:extLst>
        </xdr:cNvPr>
        <xdr:cNvSpPr/>
      </xdr:nvSpPr>
      <xdr:spPr>
        <a:xfrm>
          <a:off x="28323692" y="684584"/>
          <a:ext cx="1920240" cy="1371600"/>
        </a:xfrm>
        <a:prstGeom prst="rect">
          <a:avLst/>
        </a:prstGeom>
        <a:noFill/>
        <a:ln>
          <a:solidFill>
            <a:sysClr val="windowText" lastClr="00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Prepare Subsequent invoice Log</a:t>
          </a:r>
        </a:p>
      </xdr:txBody>
    </xdr:sp>
    <xdr:clientData/>
  </xdr:twoCellAnchor>
  <xdr:twoCellAnchor>
    <xdr:from>
      <xdr:col>4</xdr:col>
      <xdr:colOff>2586601</xdr:colOff>
      <xdr:row>4</xdr:row>
      <xdr:rowOff>979859</xdr:rowOff>
    </xdr:from>
    <xdr:to>
      <xdr:col>11</xdr:col>
      <xdr:colOff>463067</xdr:colOff>
      <xdr:row>4</xdr:row>
      <xdr:rowOff>979859</xdr:rowOff>
    </xdr:to>
    <xdr:cxnSp macro="">
      <xdr:nvCxnSpPr>
        <xdr:cNvPr id="92" name="Straight Arrow Connector 91">
          <a:extLst>
            <a:ext uri="{FF2B5EF4-FFF2-40B4-BE49-F238E27FC236}">
              <a16:creationId xmlns="" xmlns:a16="http://schemas.microsoft.com/office/drawing/2014/main" id="{00000000-0008-0000-0400-00005C000000}"/>
            </a:ext>
          </a:extLst>
        </xdr:cNvPr>
        <xdr:cNvCxnSpPr>
          <a:stCxn id="69" idx="3"/>
          <a:endCxn id="91" idx="1"/>
        </xdr:cNvCxnSpPr>
      </xdr:nvCxnSpPr>
      <xdr:spPr>
        <a:xfrm>
          <a:off x="11511526" y="1370384"/>
          <a:ext cx="16812166"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358922</xdr:colOff>
      <xdr:row>8</xdr:row>
      <xdr:rowOff>360867</xdr:rowOff>
    </xdr:from>
    <xdr:to>
      <xdr:col>13</xdr:col>
      <xdr:colOff>2279162</xdr:colOff>
      <xdr:row>8</xdr:row>
      <xdr:rowOff>1732467</xdr:rowOff>
    </xdr:to>
    <xdr:sp macro="" textlink="">
      <xdr:nvSpPr>
        <xdr:cNvPr id="93" name="Diamond 92">
          <a:extLst>
            <a:ext uri="{FF2B5EF4-FFF2-40B4-BE49-F238E27FC236}">
              <a16:creationId xmlns="" xmlns:a16="http://schemas.microsoft.com/office/drawing/2014/main" id="{00000000-0008-0000-0400-00005D000000}"/>
            </a:ext>
          </a:extLst>
        </xdr:cNvPr>
        <xdr:cNvSpPr/>
      </xdr:nvSpPr>
      <xdr:spPr>
        <a:xfrm>
          <a:off x="33629747" y="8599992"/>
          <a:ext cx="1920240" cy="1371600"/>
        </a:xfrm>
        <a:prstGeom prst="diamond">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latin typeface="Arial" charset="0"/>
              <a:ea typeface="Arial" charset="0"/>
              <a:cs typeface="Arial" charset="0"/>
            </a:rPr>
            <a:t>Adjust</a:t>
          </a:r>
          <a:r>
            <a:rPr lang="en-US" sz="1100" baseline="0">
              <a:latin typeface="Arial" charset="0"/>
              <a:ea typeface="Arial" charset="0"/>
              <a:cs typeface="Arial" charset="0"/>
            </a:rPr>
            <a:t> accrual</a:t>
          </a:r>
          <a:endParaRPr lang="en-US" sz="1100">
            <a:latin typeface="Arial" charset="0"/>
            <a:ea typeface="Arial" charset="0"/>
            <a:cs typeface="Arial" charset="0"/>
          </a:endParaRPr>
        </a:p>
      </xdr:txBody>
    </xdr:sp>
    <xdr:clientData/>
  </xdr:twoCellAnchor>
  <xdr:twoCellAnchor>
    <xdr:from>
      <xdr:col>13</xdr:col>
      <xdr:colOff>2279162</xdr:colOff>
      <xdr:row>8</xdr:row>
      <xdr:rowOff>1046667</xdr:rowOff>
    </xdr:from>
    <xdr:to>
      <xdr:col>14</xdr:col>
      <xdr:colOff>1233459</xdr:colOff>
      <xdr:row>8</xdr:row>
      <xdr:rowOff>1046667</xdr:rowOff>
    </xdr:to>
    <xdr:cxnSp macro="">
      <xdr:nvCxnSpPr>
        <xdr:cNvPr id="94" name="Straight Arrow Connector 93">
          <a:extLst>
            <a:ext uri="{FF2B5EF4-FFF2-40B4-BE49-F238E27FC236}">
              <a16:creationId xmlns="" xmlns:a16="http://schemas.microsoft.com/office/drawing/2014/main" id="{00000000-0008-0000-0400-00005E000000}"/>
            </a:ext>
          </a:extLst>
        </xdr:cNvPr>
        <xdr:cNvCxnSpPr>
          <a:stCxn id="93" idx="3"/>
          <a:endCxn id="95" idx="1"/>
        </xdr:cNvCxnSpPr>
      </xdr:nvCxnSpPr>
      <xdr:spPr>
        <a:xfrm>
          <a:off x="35549987" y="9285792"/>
          <a:ext cx="1659397"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1233459</xdr:colOff>
      <xdr:row>8</xdr:row>
      <xdr:rowOff>813495</xdr:rowOff>
    </xdr:from>
    <xdr:to>
      <xdr:col>14</xdr:col>
      <xdr:colOff>1992411</xdr:colOff>
      <xdr:row>8</xdr:row>
      <xdr:rowOff>1279839</xdr:rowOff>
    </xdr:to>
    <xdr:sp macro="" textlink="">
      <xdr:nvSpPr>
        <xdr:cNvPr id="95" name="Flowchart: Terminator 14">
          <a:extLst>
            <a:ext uri="{FF2B5EF4-FFF2-40B4-BE49-F238E27FC236}">
              <a16:creationId xmlns="" xmlns:a16="http://schemas.microsoft.com/office/drawing/2014/main" id="{00000000-0008-0000-0400-00005F000000}"/>
            </a:ext>
          </a:extLst>
        </xdr:cNvPr>
        <xdr:cNvSpPr/>
      </xdr:nvSpPr>
      <xdr:spPr>
        <a:xfrm>
          <a:off x="37209384" y="9052620"/>
          <a:ext cx="758952" cy="466344"/>
        </a:xfrm>
        <a:prstGeom prst="flowChartTerminator">
          <a:avLst/>
        </a:prstGeom>
        <a:no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r>
            <a:rPr lang="en-PH" sz="1100">
              <a:solidFill>
                <a:sysClr val="windowText" lastClr="000000"/>
              </a:solidFill>
              <a:latin typeface="Arial" panose="020B0604020202020204" pitchFamily="34" charset="0"/>
              <a:cs typeface="Arial" panose="020B0604020202020204" pitchFamily="34" charset="0"/>
            </a:rPr>
            <a:t>End</a:t>
          </a:r>
        </a:p>
      </xdr:txBody>
    </xdr:sp>
    <xdr:clientData/>
  </xdr:twoCellAnchor>
  <xdr:twoCellAnchor>
    <xdr:from>
      <xdr:col>11</xdr:col>
      <xdr:colOff>1423188</xdr:colOff>
      <xdr:row>4</xdr:row>
      <xdr:rowOff>1665659</xdr:rowOff>
    </xdr:from>
    <xdr:to>
      <xdr:col>12</xdr:col>
      <xdr:colOff>155576</xdr:colOff>
      <xdr:row>8</xdr:row>
      <xdr:rowOff>1046667</xdr:rowOff>
    </xdr:to>
    <xdr:cxnSp macro="">
      <xdr:nvCxnSpPr>
        <xdr:cNvPr id="96" name="Connector: Elbow 95">
          <a:extLst>
            <a:ext uri="{FF2B5EF4-FFF2-40B4-BE49-F238E27FC236}">
              <a16:creationId xmlns="" xmlns:a16="http://schemas.microsoft.com/office/drawing/2014/main" id="{00000000-0008-0000-0400-000060000000}"/>
            </a:ext>
          </a:extLst>
        </xdr:cNvPr>
        <xdr:cNvCxnSpPr>
          <a:stCxn id="100" idx="1"/>
          <a:endCxn id="91" idx="2"/>
        </xdr:cNvCxnSpPr>
      </xdr:nvCxnSpPr>
      <xdr:spPr>
        <a:xfrm rot="10800000">
          <a:off x="29283813" y="2056184"/>
          <a:ext cx="1437488" cy="7229608"/>
        </a:xfrm>
        <a:prstGeom prst="bentConnector2">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1319042</xdr:colOff>
      <xdr:row>5</xdr:row>
      <xdr:rowOff>1637112</xdr:rowOff>
    </xdr:from>
    <xdr:to>
      <xdr:col>13</xdr:col>
      <xdr:colOff>1319042</xdr:colOff>
      <xdr:row>8</xdr:row>
      <xdr:rowOff>360867</xdr:rowOff>
    </xdr:to>
    <xdr:cxnSp macro="">
      <xdr:nvCxnSpPr>
        <xdr:cNvPr id="97" name="Straight Arrow Connector 96">
          <a:extLst>
            <a:ext uri="{FF2B5EF4-FFF2-40B4-BE49-F238E27FC236}">
              <a16:creationId xmlns="" xmlns:a16="http://schemas.microsoft.com/office/drawing/2014/main" id="{00000000-0008-0000-0400-000061000000}"/>
            </a:ext>
          </a:extLst>
        </xdr:cNvPr>
        <xdr:cNvCxnSpPr>
          <a:stCxn id="93" idx="0"/>
          <a:endCxn id="98" idx="2"/>
        </xdr:cNvCxnSpPr>
      </xdr:nvCxnSpPr>
      <xdr:spPr>
        <a:xfrm flipV="1">
          <a:off x="34589867" y="3989787"/>
          <a:ext cx="0" cy="4610205"/>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358922</xdr:colOff>
      <xdr:row>5</xdr:row>
      <xdr:rowOff>265512</xdr:rowOff>
    </xdr:from>
    <xdr:to>
      <xdr:col>13</xdr:col>
      <xdr:colOff>2279162</xdr:colOff>
      <xdr:row>5</xdr:row>
      <xdr:rowOff>1637112</xdr:rowOff>
    </xdr:to>
    <xdr:sp macro="" textlink="">
      <xdr:nvSpPr>
        <xdr:cNvPr id="98" name="Flowchart: Off-page Connector 97">
          <a:extLst>
            <a:ext uri="{FF2B5EF4-FFF2-40B4-BE49-F238E27FC236}">
              <a16:creationId xmlns="" xmlns:a16="http://schemas.microsoft.com/office/drawing/2014/main" id="{00000000-0008-0000-0400-000062000000}"/>
            </a:ext>
          </a:extLst>
        </xdr:cNvPr>
        <xdr:cNvSpPr/>
      </xdr:nvSpPr>
      <xdr:spPr>
        <a:xfrm>
          <a:off x="33629747" y="2618187"/>
          <a:ext cx="1920240" cy="1371600"/>
        </a:xfrm>
        <a:prstGeom prst="flowChartOffpageConnector">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latin typeface="Arial" panose="020B0604020202020204" pitchFamily="34" charset="0"/>
              <a:cs typeface="Arial" panose="020B0604020202020204" pitchFamily="34" charset="0"/>
            </a:rPr>
            <a:t>Initiate Journal Entry (JE) in QAD</a:t>
          </a:r>
        </a:p>
      </xdr:txBody>
    </xdr:sp>
    <xdr:clientData/>
  </xdr:twoCellAnchor>
  <xdr:twoCellAnchor>
    <xdr:from>
      <xdr:col>12</xdr:col>
      <xdr:colOff>33746</xdr:colOff>
      <xdr:row>8</xdr:row>
      <xdr:rowOff>178656</xdr:rowOff>
    </xdr:from>
    <xdr:to>
      <xdr:col>12</xdr:col>
      <xdr:colOff>468276</xdr:colOff>
      <xdr:row>8</xdr:row>
      <xdr:rowOff>674209</xdr:rowOff>
    </xdr:to>
    <xdr:pic>
      <xdr:nvPicPr>
        <xdr:cNvPr id="99" name="Picture 98">
          <a:extLst>
            <a:ext uri="{FF2B5EF4-FFF2-40B4-BE49-F238E27FC236}">
              <a16:creationId xmlns="" xmlns:a16="http://schemas.microsoft.com/office/drawing/2014/main" id="{00000000-0008-0000-0400-000063000000}"/>
            </a:ext>
          </a:extLst>
        </xdr:cNvPr>
        <xdr:cNvPicPr>
          <a:picLocks noChangeAspect="1"/>
        </xdr:cNvPicPr>
      </xdr:nvPicPr>
      <xdr:blipFill>
        <a:blip xmlns:r="http://schemas.openxmlformats.org/officeDocument/2006/relationships" r:embed="rId3" cstate="print"/>
        <a:stretch>
          <a:fillRect/>
        </a:stretch>
      </xdr:blipFill>
      <xdr:spPr>
        <a:xfrm rot="19756698">
          <a:off x="30599471" y="8417781"/>
          <a:ext cx="434530" cy="495553"/>
        </a:xfrm>
        <a:prstGeom prst="rect">
          <a:avLst/>
        </a:prstGeom>
      </xdr:spPr>
    </xdr:pic>
    <xdr:clientData/>
  </xdr:twoCellAnchor>
  <xdr:twoCellAnchor>
    <xdr:from>
      <xdr:col>12</xdr:col>
      <xdr:colOff>155575</xdr:colOff>
      <xdr:row>8</xdr:row>
      <xdr:rowOff>360867</xdr:rowOff>
    </xdr:from>
    <xdr:to>
      <xdr:col>12</xdr:col>
      <xdr:colOff>2075815</xdr:colOff>
      <xdr:row>8</xdr:row>
      <xdr:rowOff>1732467</xdr:rowOff>
    </xdr:to>
    <xdr:sp macro="" textlink="">
      <xdr:nvSpPr>
        <xdr:cNvPr id="100" name="Rectangle 99">
          <a:extLst>
            <a:ext uri="{FF2B5EF4-FFF2-40B4-BE49-F238E27FC236}">
              <a16:creationId xmlns="" xmlns:a16="http://schemas.microsoft.com/office/drawing/2014/main" id="{00000000-0008-0000-0400-000064000000}"/>
            </a:ext>
          </a:extLst>
        </xdr:cNvPr>
        <xdr:cNvSpPr/>
      </xdr:nvSpPr>
      <xdr:spPr>
        <a:xfrm>
          <a:off x="30721300" y="8599992"/>
          <a:ext cx="1920240" cy="1371600"/>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aseline="0">
              <a:solidFill>
                <a:sysClr val="windowText" lastClr="000000"/>
              </a:solidFill>
              <a:latin typeface="Arial" charset="0"/>
              <a:ea typeface="Arial" charset="0"/>
              <a:cs typeface="Arial" charset="0"/>
            </a:rPr>
            <a:t>Review subsequent invoice log</a:t>
          </a:r>
        </a:p>
        <a:p>
          <a:pPr algn="ctr"/>
          <a:r>
            <a:rPr lang="en-US" sz="1100" baseline="0">
              <a:solidFill>
                <a:sysClr val="windowText" lastClr="000000"/>
              </a:solidFill>
              <a:latin typeface="Arial" charset="0"/>
              <a:ea typeface="Arial" charset="0"/>
              <a:cs typeface="Arial" charset="0"/>
            </a:rPr>
            <a:t>(FCR 3.11)</a:t>
          </a:r>
        </a:p>
      </xdr:txBody>
    </xdr:sp>
    <xdr:clientData/>
  </xdr:twoCellAnchor>
  <xdr:twoCellAnchor>
    <xdr:from>
      <xdr:col>12</xdr:col>
      <xdr:colOff>2075815</xdr:colOff>
      <xdr:row>8</xdr:row>
      <xdr:rowOff>1046667</xdr:rowOff>
    </xdr:from>
    <xdr:to>
      <xdr:col>13</xdr:col>
      <xdr:colOff>358922</xdr:colOff>
      <xdr:row>8</xdr:row>
      <xdr:rowOff>1046667</xdr:rowOff>
    </xdr:to>
    <xdr:cxnSp macro="">
      <xdr:nvCxnSpPr>
        <xdr:cNvPr id="101" name="Straight Arrow Connector 100">
          <a:extLst>
            <a:ext uri="{FF2B5EF4-FFF2-40B4-BE49-F238E27FC236}">
              <a16:creationId xmlns="" xmlns:a16="http://schemas.microsoft.com/office/drawing/2014/main" id="{00000000-0008-0000-0400-000065000000}"/>
            </a:ext>
          </a:extLst>
        </xdr:cNvPr>
        <xdr:cNvCxnSpPr>
          <a:stCxn id="100" idx="3"/>
          <a:endCxn id="93" idx="1"/>
        </xdr:cNvCxnSpPr>
      </xdr:nvCxnSpPr>
      <xdr:spPr>
        <a:xfrm>
          <a:off x="32641540" y="9285792"/>
          <a:ext cx="988207"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13</xdr:col>
      <xdr:colOff>254416</xdr:colOff>
      <xdr:row>9</xdr:row>
      <xdr:rowOff>104209</xdr:rowOff>
    </xdr:from>
    <xdr:to>
      <xdr:col>13</xdr:col>
      <xdr:colOff>688946</xdr:colOff>
      <xdr:row>9</xdr:row>
      <xdr:rowOff>599762</xdr:rowOff>
    </xdr:to>
    <xdr:pic>
      <xdr:nvPicPr>
        <xdr:cNvPr id="102" name="Picture 101">
          <a:extLst>
            <a:ext uri="{FF2B5EF4-FFF2-40B4-BE49-F238E27FC236}">
              <a16:creationId xmlns="" xmlns:a16="http://schemas.microsoft.com/office/drawing/2014/main" id="{00000000-0008-0000-0400-000066000000}"/>
            </a:ext>
          </a:extLst>
        </xdr:cNvPr>
        <xdr:cNvPicPr>
          <a:picLocks noChangeAspect="1"/>
        </xdr:cNvPicPr>
      </xdr:nvPicPr>
      <xdr:blipFill>
        <a:blip xmlns:r="http://schemas.openxmlformats.org/officeDocument/2006/relationships" r:embed="rId3" cstate="print"/>
        <a:stretch>
          <a:fillRect/>
        </a:stretch>
      </xdr:blipFill>
      <xdr:spPr>
        <a:xfrm rot="19756698">
          <a:off x="33525241" y="10305484"/>
          <a:ext cx="434530" cy="495553"/>
        </a:xfrm>
        <a:prstGeom prst="rect">
          <a:avLst/>
        </a:prstGeom>
      </xdr:spPr>
    </xdr:pic>
    <xdr:clientData/>
  </xdr:twoCellAnchor>
  <xdr:twoCellAnchor>
    <xdr:from>
      <xdr:col>13</xdr:col>
      <xdr:colOff>2703286</xdr:colOff>
      <xdr:row>8</xdr:row>
      <xdr:rowOff>916214</xdr:rowOff>
    </xdr:from>
    <xdr:to>
      <xdr:col>14</xdr:col>
      <xdr:colOff>549729</xdr:colOff>
      <xdr:row>8</xdr:row>
      <xdr:rowOff>1170214</xdr:rowOff>
    </xdr:to>
    <xdr:sp macro="" textlink="">
      <xdr:nvSpPr>
        <xdr:cNvPr id="103" name="TextBox 102">
          <a:extLst>
            <a:ext uri="{FF2B5EF4-FFF2-40B4-BE49-F238E27FC236}">
              <a16:creationId xmlns="" xmlns:a16="http://schemas.microsoft.com/office/drawing/2014/main" id="{00000000-0008-0000-0400-000067000000}"/>
            </a:ext>
          </a:extLst>
        </xdr:cNvPr>
        <xdr:cNvSpPr txBox="1"/>
      </xdr:nvSpPr>
      <xdr:spPr>
        <a:xfrm>
          <a:off x="35974111" y="9155339"/>
          <a:ext cx="551543"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atin typeface="Arial" panose="020B0604020202020204" pitchFamily="34" charset="0"/>
              <a:cs typeface="Arial" panose="020B0604020202020204" pitchFamily="34" charset="0"/>
            </a:rPr>
            <a:t>No</a:t>
          </a:r>
        </a:p>
      </xdr:txBody>
    </xdr:sp>
    <xdr:clientData/>
  </xdr:twoCellAnchor>
  <xdr:twoCellAnchor>
    <xdr:from>
      <xdr:col>13</xdr:col>
      <xdr:colOff>950686</xdr:colOff>
      <xdr:row>7</xdr:row>
      <xdr:rowOff>415471</xdr:rowOff>
    </xdr:from>
    <xdr:to>
      <xdr:col>13</xdr:col>
      <xdr:colOff>1636486</xdr:colOff>
      <xdr:row>7</xdr:row>
      <xdr:rowOff>669471</xdr:rowOff>
    </xdr:to>
    <xdr:sp macro="" textlink="">
      <xdr:nvSpPr>
        <xdr:cNvPr id="104" name="TextBox 103">
          <a:extLst>
            <a:ext uri="{FF2B5EF4-FFF2-40B4-BE49-F238E27FC236}">
              <a16:creationId xmlns="" xmlns:a16="http://schemas.microsoft.com/office/drawing/2014/main" id="{00000000-0008-0000-0400-000068000000}"/>
            </a:ext>
          </a:extLst>
        </xdr:cNvPr>
        <xdr:cNvSpPr txBox="1"/>
      </xdr:nvSpPr>
      <xdr:spPr>
        <a:xfrm>
          <a:off x="34221511" y="6692446"/>
          <a:ext cx="685800" cy="25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atin typeface="Arial" panose="020B0604020202020204" pitchFamily="34" charset="0"/>
              <a:cs typeface="Arial" panose="020B0604020202020204" pitchFamily="34" charset="0"/>
            </a:rPr>
            <a:t>Yes</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390525</xdr:colOff>
          <xdr:row>1</xdr:row>
          <xdr:rowOff>104775</xdr:rowOff>
        </xdr:to>
        <xdr:sp macro="" textlink="">
          <xdr:nvSpPr>
            <xdr:cNvPr id="3073" name="backMenuBtn" hidden="1">
              <a:extLst>
                <a:ext uri="{63B3BB69-23CF-44E3-9099-C40C66FF867C}">
                  <a14:compatExt spid="_x0000_s3073"/>
                </a:ext>
                <a:ext uri="{FF2B5EF4-FFF2-40B4-BE49-F238E27FC236}">
                  <a16:creationId xmlns=""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495300</xdr:colOff>
          <xdr:row>1</xdr:row>
          <xdr:rowOff>95250</xdr:rowOff>
        </xdr:to>
        <xdr:sp macro="" textlink="">
          <xdr:nvSpPr>
            <xdr:cNvPr id="7169" name="backMenuBtn" hidden="1">
              <a:extLst>
                <a:ext uri="{63B3BB69-23CF-44E3-9099-C40C66FF867C}">
                  <a14:compatExt spid="_x0000_s7169"/>
                </a:ext>
                <a:ext uri="{FF2B5EF4-FFF2-40B4-BE49-F238E27FC236}">
                  <a16:creationId xmlns=""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0</xdr:row>
          <xdr:rowOff>0</xdr:rowOff>
        </xdr:from>
        <xdr:to>
          <xdr:col>1</xdr:col>
          <xdr:colOff>1838325</xdr:colOff>
          <xdr:row>1</xdr:row>
          <xdr:rowOff>85725</xdr:rowOff>
        </xdr:to>
        <xdr:sp macro="" textlink="">
          <xdr:nvSpPr>
            <xdr:cNvPr id="7170" name="CommandButton1" hidden="1">
              <a:extLst>
                <a:ext uri="{63B3BB69-23CF-44E3-9099-C40C66FF867C}">
                  <a14:compatExt spid="_x0000_s7170"/>
                </a:ext>
                <a:ext uri="{FF2B5EF4-FFF2-40B4-BE49-F238E27FC236}">
                  <a16:creationId xmlns=""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9217" name="backMenuBtn" hidden="1">
              <a:extLst>
                <a:ext uri="{63B3BB69-23CF-44E3-9099-C40C66FF867C}">
                  <a14:compatExt spid="_x0000_s9217"/>
                </a:ext>
                <a:ext uri="{FF2B5EF4-FFF2-40B4-BE49-F238E27FC236}">
                  <a16:creationId xmlns="" xmlns:a16="http://schemas.microsoft.com/office/drawing/2014/main" id="{00000000-0008-0000-07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600075</xdr:colOff>
          <xdr:row>0</xdr:row>
          <xdr:rowOff>0</xdr:rowOff>
        </xdr:from>
        <xdr:to>
          <xdr:col>1</xdr:col>
          <xdr:colOff>1800225</xdr:colOff>
          <xdr:row>1</xdr:row>
          <xdr:rowOff>114300</xdr:rowOff>
        </xdr:to>
        <xdr:sp macro="" textlink="">
          <xdr:nvSpPr>
            <xdr:cNvPr id="9218" name="CommandButton1" hidden="1">
              <a:extLst>
                <a:ext uri="{63B3BB69-23CF-44E3-9099-C40C66FF867C}">
                  <a14:compatExt spid="_x0000_s9218"/>
                </a:ext>
                <a:ext uri="{FF2B5EF4-FFF2-40B4-BE49-F238E27FC236}">
                  <a16:creationId xmlns="" xmlns:a16="http://schemas.microsoft.com/office/drawing/2014/main" id="{00000000-0008-0000-07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1304925</xdr:colOff>
          <xdr:row>0</xdr:row>
          <xdr:rowOff>9525</xdr:rowOff>
        </xdr:from>
        <xdr:to>
          <xdr:col>1</xdr:col>
          <xdr:colOff>466725</xdr:colOff>
          <xdr:row>1</xdr:row>
          <xdr:rowOff>123825</xdr:rowOff>
        </xdr:to>
        <xdr:sp macro="" textlink="">
          <xdr:nvSpPr>
            <xdr:cNvPr id="9219" name="CommandButton2" hidden="1">
              <a:extLst>
                <a:ext uri="{63B3BB69-23CF-44E3-9099-C40C66FF867C}">
                  <a14:compatExt spid="_x0000_s9219"/>
                </a:ext>
                <a:ext uri="{FF2B5EF4-FFF2-40B4-BE49-F238E27FC236}">
                  <a16:creationId xmlns="" xmlns:a16="http://schemas.microsoft.com/office/drawing/2014/main" id="{00000000-0008-0000-07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0241" name="backMenuBtn" hidden="1">
              <a:extLst>
                <a:ext uri="{63B3BB69-23CF-44E3-9099-C40C66FF867C}">
                  <a14:compatExt spid="_x0000_s10241"/>
                </a:ext>
                <a:ext uri="{FF2B5EF4-FFF2-40B4-BE49-F238E27FC236}">
                  <a16:creationId xmlns="" xmlns:a16="http://schemas.microsoft.com/office/drawing/2014/main" id="{00000000-0008-0000-08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609600</xdr:colOff>
          <xdr:row>0</xdr:row>
          <xdr:rowOff>0</xdr:rowOff>
        </xdr:from>
        <xdr:to>
          <xdr:col>1</xdr:col>
          <xdr:colOff>1809750</xdr:colOff>
          <xdr:row>1</xdr:row>
          <xdr:rowOff>114300</xdr:rowOff>
        </xdr:to>
        <xdr:sp macro="" textlink="">
          <xdr:nvSpPr>
            <xdr:cNvPr id="10242" name="CommandButton1" hidden="1">
              <a:extLst>
                <a:ext uri="{63B3BB69-23CF-44E3-9099-C40C66FF867C}">
                  <a14:compatExt spid="_x0000_s10242"/>
                </a:ext>
                <a:ext uri="{FF2B5EF4-FFF2-40B4-BE49-F238E27FC236}">
                  <a16:creationId xmlns="" xmlns:a16="http://schemas.microsoft.com/office/drawing/2014/main" id="{00000000-0008-0000-08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1314450</xdr:colOff>
          <xdr:row>0</xdr:row>
          <xdr:rowOff>9525</xdr:rowOff>
        </xdr:from>
        <xdr:to>
          <xdr:col>1</xdr:col>
          <xdr:colOff>476250</xdr:colOff>
          <xdr:row>1</xdr:row>
          <xdr:rowOff>123825</xdr:rowOff>
        </xdr:to>
        <xdr:sp macro="" textlink="">
          <xdr:nvSpPr>
            <xdr:cNvPr id="10243" name="CommandButton2" hidden="1">
              <a:extLst>
                <a:ext uri="{63B3BB69-23CF-44E3-9099-C40C66FF867C}">
                  <a14:compatExt spid="_x0000_s10243"/>
                </a:ext>
                <a:ext uri="{FF2B5EF4-FFF2-40B4-BE49-F238E27FC236}">
                  <a16:creationId xmlns="" xmlns:a16="http://schemas.microsoft.com/office/drawing/2014/main" id="{00000000-0008-0000-08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1265" name="backMenuBtn" hidden="1">
              <a:extLst>
                <a:ext uri="{63B3BB69-23CF-44E3-9099-C40C66FF867C}">
                  <a14:compatExt spid="_x0000_s11265"/>
                </a:ext>
                <a:ext uri="{FF2B5EF4-FFF2-40B4-BE49-F238E27FC236}">
                  <a16:creationId xmlns=""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0</xdr:row>
          <xdr:rowOff>0</xdr:rowOff>
        </xdr:from>
        <xdr:to>
          <xdr:col>2</xdr:col>
          <xdr:colOff>1143000</xdr:colOff>
          <xdr:row>1</xdr:row>
          <xdr:rowOff>114300</xdr:rowOff>
        </xdr:to>
        <xdr:sp macro="" textlink="">
          <xdr:nvSpPr>
            <xdr:cNvPr id="11266" name="CommandButton1" hidden="1">
              <a:extLst>
                <a:ext uri="{63B3BB69-23CF-44E3-9099-C40C66FF867C}">
                  <a14:compatExt spid="_x0000_s11266"/>
                </a:ext>
                <a:ext uri="{FF2B5EF4-FFF2-40B4-BE49-F238E27FC236}">
                  <a16:creationId xmlns="" xmlns:a16="http://schemas.microsoft.com/office/drawing/2014/main" id="{00000000-0008-0000-09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0</xdr:row>
          <xdr:rowOff>9525</xdr:rowOff>
        </xdr:from>
        <xdr:to>
          <xdr:col>1</xdr:col>
          <xdr:colOff>1181100</xdr:colOff>
          <xdr:row>1</xdr:row>
          <xdr:rowOff>123825</xdr:rowOff>
        </xdr:to>
        <xdr:sp macro="" textlink="">
          <xdr:nvSpPr>
            <xdr:cNvPr id="11267" name="CommandButton2" hidden="1">
              <a:extLst>
                <a:ext uri="{63B3BB69-23CF-44E3-9099-C40C66FF867C}">
                  <a14:compatExt spid="_x0000_s11267"/>
                </a:ext>
                <a:ext uri="{FF2B5EF4-FFF2-40B4-BE49-F238E27FC236}">
                  <a16:creationId xmlns="" xmlns:a16="http://schemas.microsoft.com/office/drawing/2014/main" id="{00000000-0008-0000-09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2289" name="backMenuBtn" hidden="1">
              <a:extLst>
                <a:ext uri="{63B3BB69-23CF-44E3-9099-C40C66FF867C}">
                  <a14:compatExt spid="_x0000_s12289"/>
                </a:ext>
                <a:ext uri="{FF2B5EF4-FFF2-40B4-BE49-F238E27FC236}">
                  <a16:creationId xmlns="" xmlns:a16="http://schemas.microsoft.com/office/drawing/2014/main" id="{00000000-0008-0000-0A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0</xdr:row>
          <xdr:rowOff>0</xdr:rowOff>
        </xdr:from>
        <xdr:to>
          <xdr:col>1</xdr:col>
          <xdr:colOff>1838325</xdr:colOff>
          <xdr:row>1</xdr:row>
          <xdr:rowOff>114300</xdr:rowOff>
        </xdr:to>
        <xdr:sp macro="" textlink="">
          <xdr:nvSpPr>
            <xdr:cNvPr id="12290" name="CommandButton1" hidden="1">
              <a:extLst>
                <a:ext uri="{63B3BB69-23CF-44E3-9099-C40C66FF867C}">
                  <a14:compatExt spid="_x0000_s12290"/>
                </a:ext>
                <a:ext uri="{FF2B5EF4-FFF2-40B4-BE49-F238E27FC236}">
                  <a16:creationId xmlns="" xmlns:a16="http://schemas.microsoft.com/office/drawing/2014/main" id="{00000000-0008-0000-0A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1343025</xdr:colOff>
          <xdr:row>0</xdr:row>
          <xdr:rowOff>9525</xdr:rowOff>
        </xdr:from>
        <xdr:to>
          <xdr:col>1</xdr:col>
          <xdr:colOff>504825</xdr:colOff>
          <xdr:row>1</xdr:row>
          <xdr:rowOff>123825</xdr:rowOff>
        </xdr:to>
        <xdr:sp macro="" textlink="">
          <xdr:nvSpPr>
            <xdr:cNvPr id="12291" name="CommandButton2" hidden="1">
              <a:extLst>
                <a:ext uri="{63B3BB69-23CF-44E3-9099-C40C66FF867C}">
                  <a14:compatExt spid="_x0000_s12291"/>
                </a:ext>
                <a:ext uri="{FF2B5EF4-FFF2-40B4-BE49-F238E27FC236}">
                  <a16:creationId xmlns="" xmlns:a16="http://schemas.microsoft.com/office/drawing/2014/main" id="{00000000-0008-0000-0A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3313" name="backMenuBtn" hidden="1">
              <a:extLst>
                <a:ext uri="{63B3BB69-23CF-44E3-9099-C40C66FF867C}">
                  <a14:compatExt spid="_x0000_s13313"/>
                </a:ext>
                <a:ext uri="{FF2B5EF4-FFF2-40B4-BE49-F238E27FC236}">
                  <a16:creationId xmlns="" xmlns:a16="http://schemas.microsoft.com/office/drawing/2014/main" id="{00000000-0008-0000-0B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1333500</xdr:colOff>
          <xdr:row>0</xdr:row>
          <xdr:rowOff>0</xdr:rowOff>
        </xdr:from>
        <xdr:to>
          <xdr:col>2</xdr:col>
          <xdr:colOff>1171575</xdr:colOff>
          <xdr:row>1</xdr:row>
          <xdr:rowOff>114300</xdr:rowOff>
        </xdr:to>
        <xdr:sp macro="" textlink="">
          <xdr:nvSpPr>
            <xdr:cNvPr id="13314" name="CommandButton1" hidden="1">
              <a:extLst>
                <a:ext uri="{63B3BB69-23CF-44E3-9099-C40C66FF867C}">
                  <a14:compatExt spid="_x0000_s13314"/>
                </a:ext>
                <a:ext uri="{FF2B5EF4-FFF2-40B4-BE49-F238E27FC236}">
                  <a16:creationId xmlns="" xmlns:a16="http://schemas.microsoft.com/office/drawing/2014/main" id="{00000000-0008-0000-0B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9525</xdr:rowOff>
        </xdr:from>
        <xdr:to>
          <xdr:col>1</xdr:col>
          <xdr:colOff>1200150</xdr:colOff>
          <xdr:row>1</xdr:row>
          <xdr:rowOff>123825</xdr:rowOff>
        </xdr:to>
        <xdr:sp macro="" textlink="">
          <xdr:nvSpPr>
            <xdr:cNvPr id="13315" name="CommandButton2" hidden="1">
              <a:extLst>
                <a:ext uri="{63B3BB69-23CF-44E3-9099-C40C66FF867C}">
                  <a14:compatExt spid="_x0000_s13315"/>
                </a:ext>
                <a:ext uri="{FF2B5EF4-FFF2-40B4-BE49-F238E27FC236}">
                  <a16:creationId xmlns="" xmlns:a16="http://schemas.microsoft.com/office/drawing/2014/main" id="{00000000-0008-0000-0B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4337" name="backMenuBtn" hidden="1">
              <a:extLst>
                <a:ext uri="{63B3BB69-23CF-44E3-9099-C40C66FF867C}">
                  <a14:compatExt spid="_x0000_s14337"/>
                </a:ext>
                <a:ext uri="{FF2B5EF4-FFF2-40B4-BE49-F238E27FC236}">
                  <a16:creationId xmlns="" xmlns:a16="http://schemas.microsoft.com/office/drawing/2014/main" id="{00000000-0008-0000-0C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0</xdr:row>
          <xdr:rowOff>0</xdr:rowOff>
        </xdr:from>
        <xdr:to>
          <xdr:col>1</xdr:col>
          <xdr:colOff>1838325</xdr:colOff>
          <xdr:row>1</xdr:row>
          <xdr:rowOff>114300</xdr:rowOff>
        </xdr:to>
        <xdr:sp macro="" textlink="">
          <xdr:nvSpPr>
            <xdr:cNvPr id="14338" name="CommandButton1" hidden="1">
              <a:extLst>
                <a:ext uri="{63B3BB69-23CF-44E3-9099-C40C66FF867C}">
                  <a14:compatExt spid="_x0000_s14338"/>
                </a:ext>
                <a:ext uri="{FF2B5EF4-FFF2-40B4-BE49-F238E27FC236}">
                  <a16:creationId xmlns=""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1343025</xdr:colOff>
          <xdr:row>0</xdr:row>
          <xdr:rowOff>9525</xdr:rowOff>
        </xdr:from>
        <xdr:to>
          <xdr:col>1</xdr:col>
          <xdr:colOff>504825</xdr:colOff>
          <xdr:row>1</xdr:row>
          <xdr:rowOff>123825</xdr:rowOff>
        </xdr:to>
        <xdr:sp macro="" textlink="">
          <xdr:nvSpPr>
            <xdr:cNvPr id="14339" name="CommandButton2" hidden="1">
              <a:extLst>
                <a:ext uri="{63B3BB69-23CF-44E3-9099-C40C66FF867C}">
                  <a14:compatExt spid="_x0000_s14339"/>
                </a:ext>
                <a:ext uri="{FF2B5EF4-FFF2-40B4-BE49-F238E27FC236}">
                  <a16:creationId xmlns=""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5361" name="backMenuBtn" hidden="1">
              <a:extLst>
                <a:ext uri="{63B3BB69-23CF-44E3-9099-C40C66FF867C}">
                  <a14:compatExt spid="_x0000_s15361"/>
                </a:ext>
                <a:ext uri="{FF2B5EF4-FFF2-40B4-BE49-F238E27FC236}">
                  <a16:creationId xmlns="" xmlns:a16="http://schemas.microsoft.com/office/drawing/2014/main" id="{00000000-0008-0000-0D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0</xdr:row>
          <xdr:rowOff>0</xdr:rowOff>
        </xdr:from>
        <xdr:to>
          <xdr:col>1</xdr:col>
          <xdr:colOff>1828800</xdr:colOff>
          <xdr:row>1</xdr:row>
          <xdr:rowOff>114300</xdr:rowOff>
        </xdr:to>
        <xdr:sp macro="" textlink="">
          <xdr:nvSpPr>
            <xdr:cNvPr id="15362" name="CommandButton1" hidden="1">
              <a:extLst>
                <a:ext uri="{63B3BB69-23CF-44E3-9099-C40C66FF867C}">
                  <a14:compatExt spid="_x0000_s15362"/>
                </a:ext>
                <a:ext uri="{FF2B5EF4-FFF2-40B4-BE49-F238E27FC236}">
                  <a16:creationId xmlns=""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0</xdr:row>
          <xdr:rowOff>9525</xdr:rowOff>
        </xdr:from>
        <xdr:to>
          <xdr:col>1</xdr:col>
          <xdr:colOff>504825</xdr:colOff>
          <xdr:row>1</xdr:row>
          <xdr:rowOff>123825</xdr:rowOff>
        </xdr:to>
        <xdr:sp macro="" textlink="">
          <xdr:nvSpPr>
            <xdr:cNvPr id="15363" name="CommandButton2" hidden="1">
              <a:extLst>
                <a:ext uri="{63B3BB69-23CF-44E3-9099-C40C66FF867C}">
                  <a14:compatExt spid="_x0000_s15363"/>
                </a:ext>
                <a:ext uri="{FF2B5EF4-FFF2-40B4-BE49-F238E27FC236}">
                  <a16:creationId xmlns=""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6385" name="backMenuBtn" hidden="1">
              <a:extLst>
                <a:ext uri="{63B3BB69-23CF-44E3-9099-C40C66FF867C}">
                  <a14:compatExt spid="_x0000_s16385"/>
                </a:ext>
                <a:ext uri="{FF2B5EF4-FFF2-40B4-BE49-F238E27FC236}">
                  <a16:creationId xmlns=""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657225</xdr:colOff>
          <xdr:row>0</xdr:row>
          <xdr:rowOff>0</xdr:rowOff>
        </xdr:from>
        <xdr:to>
          <xdr:col>1</xdr:col>
          <xdr:colOff>1857375</xdr:colOff>
          <xdr:row>1</xdr:row>
          <xdr:rowOff>114300</xdr:rowOff>
        </xdr:to>
        <xdr:sp macro="" textlink="">
          <xdr:nvSpPr>
            <xdr:cNvPr id="16386" name="CommandButton1" hidden="1">
              <a:extLst>
                <a:ext uri="{63B3BB69-23CF-44E3-9099-C40C66FF867C}">
                  <a14:compatExt spid="_x0000_s16386"/>
                </a:ext>
                <a:ext uri="{FF2B5EF4-FFF2-40B4-BE49-F238E27FC236}">
                  <a16:creationId xmlns=""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1362075</xdr:colOff>
          <xdr:row>0</xdr:row>
          <xdr:rowOff>9525</xdr:rowOff>
        </xdr:from>
        <xdr:to>
          <xdr:col>1</xdr:col>
          <xdr:colOff>523875</xdr:colOff>
          <xdr:row>1</xdr:row>
          <xdr:rowOff>123825</xdr:rowOff>
        </xdr:to>
        <xdr:sp macro="" textlink="">
          <xdr:nvSpPr>
            <xdr:cNvPr id="16387" name="CommandButton2" hidden="1">
              <a:extLst>
                <a:ext uri="{63B3BB69-23CF-44E3-9099-C40C66FF867C}">
                  <a14:compatExt spid="_x0000_s16387"/>
                </a:ext>
                <a:ext uri="{FF2B5EF4-FFF2-40B4-BE49-F238E27FC236}">
                  <a16:creationId xmlns=""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7409" name="backMenuBtn" hidden="1">
              <a:extLst>
                <a:ext uri="{63B3BB69-23CF-44E3-9099-C40C66FF867C}">
                  <a14:compatExt spid="_x0000_s17409"/>
                </a:ext>
                <a:ext uri="{FF2B5EF4-FFF2-40B4-BE49-F238E27FC236}">
                  <a16:creationId xmlns="" xmlns:a16="http://schemas.microsoft.com/office/drawing/2014/main" id="{00000000-0008-0000-0F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0</xdr:row>
          <xdr:rowOff>0</xdr:rowOff>
        </xdr:from>
        <xdr:to>
          <xdr:col>2</xdr:col>
          <xdr:colOff>1190625</xdr:colOff>
          <xdr:row>1</xdr:row>
          <xdr:rowOff>114300</xdr:rowOff>
        </xdr:to>
        <xdr:sp macro="" textlink="">
          <xdr:nvSpPr>
            <xdr:cNvPr id="17410" name="CommandButton1" hidden="1">
              <a:extLst>
                <a:ext uri="{63B3BB69-23CF-44E3-9099-C40C66FF867C}">
                  <a14:compatExt spid="_x0000_s17410"/>
                </a:ext>
                <a:ext uri="{FF2B5EF4-FFF2-40B4-BE49-F238E27FC236}">
                  <a16:creationId xmlns="" xmlns:a16="http://schemas.microsoft.com/office/drawing/2014/main" id="{00000000-0008-0000-0F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9525</xdr:rowOff>
        </xdr:from>
        <xdr:to>
          <xdr:col>1</xdr:col>
          <xdr:colOff>1219200</xdr:colOff>
          <xdr:row>1</xdr:row>
          <xdr:rowOff>123825</xdr:rowOff>
        </xdr:to>
        <xdr:sp macro="" textlink="">
          <xdr:nvSpPr>
            <xdr:cNvPr id="17411" name="CommandButton2" hidden="1">
              <a:extLst>
                <a:ext uri="{63B3BB69-23CF-44E3-9099-C40C66FF867C}">
                  <a14:compatExt spid="_x0000_s17411"/>
                </a:ext>
                <a:ext uri="{FF2B5EF4-FFF2-40B4-BE49-F238E27FC236}">
                  <a16:creationId xmlns="" xmlns:a16="http://schemas.microsoft.com/office/drawing/2014/main" id="{00000000-0008-0000-0F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8433" name="backMenuBtn" hidden="1">
              <a:extLst>
                <a:ext uri="{63B3BB69-23CF-44E3-9099-C40C66FF867C}">
                  <a14:compatExt spid="_x0000_s18433"/>
                </a:ext>
                <a:ext uri="{FF2B5EF4-FFF2-40B4-BE49-F238E27FC236}">
                  <a16:creationId xmlns="" xmlns:a16="http://schemas.microsoft.com/office/drawing/2014/main" id="{00000000-0008-0000-10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657225</xdr:colOff>
          <xdr:row>0</xdr:row>
          <xdr:rowOff>0</xdr:rowOff>
        </xdr:from>
        <xdr:to>
          <xdr:col>1</xdr:col>
          <xdr:colOff>1857375</xdr:colOff>
          <xdr:row>1</xdr:row>
          <xdr:rowOff>114300</xdr:rowOff>
        </xdr:to>
        <xdr:sp macro="" textlink="">
          <xdr:nvSpPr>
            <xdr:cNvPr id="18434" name="CommandButton1" hidden="1">
              <a:extLst>
                <a:ext uri="{63B3BB69-23CF-44E3-9099-C40C66FF867C}">
                  <a14:compatExt spid="_x0000_s18434"/>
                </a:ext>
                <a:ext uri="{FF2B5EF4-FFF2-40B4-BE49-F238E27FC236}">
                  <a16:creationId xmlns="" xmlns:a16="http://schemas.microsoft.com/office/drawing/2014/main" id="{00000000-0008-0000-10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1362075</xdr:colOff>
          <xdr:row>0</xdr:row>
          <xdr:rowOff>9525</xdr:rowOff>
        </xdr:from>
        <xdr:to>
          <xdr:col>1</xdr:col>
          <xdr:colOff>523875</xdr:colOff>
          <xdr:row>1</xdr:row>
          <xdr:rowOff>123825</xdr:rowOff>
        </xdr:to>
        <xdr:sp macro="" textlink="">
          <xdr:nvSpPr>
            <xdr:cNvPr id="18435" name="CommandButton2" hidden="1">
              <a:extLst>
                <a:ext uri="{63B3BB69-23CF-44E3-9099-C40C66FF867C}">
                  <a14:compatExt spid="_x0000_s18435"/>
                </a:ext>
                <a:ext uri="{FF2B5EF4-FFF2-40B4-BE49-F238E27FC236}">
                  <a16:creationId xmlns="" xmlns:a16="http://schemas.microsoft.com/office/drawing/2014/main" id="{00000000-0008-0000-10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4101" name="backMenuBtn" hidden="1">
              <a:extLst>
                <a:ext uri="{63B3BB69-23CF-44E3-9099-C40C66FF867C}">
                  <a14:compatExt spid="_x0000_s4101"/>
                </a:ext>
                <a:ext uri="{FF2B5EF4-FFF2-40B4-BE49-F238E27FC236}">
                  <a16:creationId xmlns="" xmlns:a16="http://schemas.microsoft.com/office/drawing/2014/main" id="{00000000-0008-0000-11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1343025</xdr:colOff>
          <xdr:row>0</xdr:row>
          <xdr:rowOff>0</xdr:rowOff>
        </xdr:from>
        <xdr:to>
          <xdr:col>2</xdr:col>
          <xdr:colOff>1171575</xdr:colOff>
          <xdr:row>1</xdr:row>
          <xdr:rowOff>114300</xdr:rowOff>
        </xdr:to>
        <xdr:sp macro="" textlink="">
          <xdr:nvSpPr>
            <xdr:cNvPr id="4102" name="CommandButton1" hidden="1">
              <a:extLst>
                <a:ext uri="{63B3BB69-23CF-44E3-9099-C40C66FF867C}">
                  <a14:compatExt spid="_x0000_s4102"/>
                </a:ext>
                <a:ext uri="{FF2B5EF4-FFF2-40B4-BE49-F238E27FC236}">
                  <a16:creationId xmlns="" xmlns:a16="http://schemas.microsoft.com/office/drawing/2014/main" id="{00000000-0008-0000-11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0</xdr:row>
          <xdr:rowOff>9525</xdr:rowOff>
        </xdr:from>
        <xdr:to>
          <xdr:col>1</xdr:col>
          <xdr:colOff>1209675</xdr:colOff>
          <xdr:row>1</xdr:row>
          <xdr:rowOff>123825</xdr:rowOff>
        </xdr:to>
        <xdr:sp macro="" textlink="">
          <xdr:nvSpPr>
            <xdr:cNvPr id="4103" name="CommandButton2" hidden="1">
              <a:extLst>
                <a:ext uri="{63B3BB69-23CF-44E3-9099-C40C66FF867C}">
                  <a14:compatExt spid="_x0000_s4103"/>
                </a:ext>
                <a:ext uri="{FF2B5EF4-FFF2-40B4-BE49-F238E27FC236}">
                  <a16:creationId xmlns="" xmlns:a16="http://schemas.microsoft.com/office/drawing/2014/main" id="{00000000-0008-0000-1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19457" name="backMenuBtn" hidden="1">
              <a:extLst>
                <a:ext uri="{63B3BB69-23CF-44E3-9099-C40C66FF867C}">
                  <a14:compatExt spid="_x0000_s19457"/>
                </a:ext>
                <a:ext uri="{FF2B5EF4-FFF2-40B4-BE49-F238E27FC236}">
                  <a16:creationId xmlns="" xmlns:a16="http://schemas.microsoft.com/office/drawing/2014/main" id="{00000000-0008-0000-1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676275</xdr:colOff>
          <xdr:row>0</xdr:row>
          <xdr:rowOff>0</xdr:rowOff>
        </xdr:from>
        <xdr:to>
          <xdr:col>1</xdr:col>
          <xdr:colOff>1876425</xdr:colOff>
          <xdr:row>1</xdr:row>
          <xdr:rowOff>114300</xdr:rowOff>
        </xdr:to>
        <xdr:sp macro="" textlink="">
          <xdr:nvSpPr>
            <xdr:cNvPr id="19458" name="CommandButton1" hidden="1">
              <a:extLst>
                <a:ext uri="{63B3BB69-23CF-44E3-9099-C40C66FF867C}">
                  <a14:compatExt spid="_x0000_s19458"/>
                </a:ext>
                <a:ext uri="{FF2B5EF4-FFF2-40B4-BE49-F238E27FC236}">
                  <a16:creationId xmlns="" xmlns:a16="http://schemas.microsoft.com/office/drawing/2014/main" id="{00000000-0008-0000-12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1381125</xdr:colOff>
          <xdr:row>0</xdr:row>
          <xdr:rowOff>9525</xdr:rowOff>
        </xdr:from>
        <xdr:to>
          <xdr:col>1</xdr:col>
          <xdr:colOff>542925</xdr:colOff>
          <xdr:row>1</xdr:row>
          <xdr:rowOff>123825</xdr:rowOff>
        </xdr:to>
        <xdr:sp macro="" textlink="">
          <xdr:nvSpPr>
            <xdr:cNvPr id="19459" name="CommandButton2" hidden="1">
              <a:extLst>
                <a:ext uri="{63B3BB69-23CF-44E3-9099-C40C66FF867C}">
                  <a14:compatExt spid="_x0000_s19459"/>
                </a:ext>
                <a:ext uri="{FF2B5EF4-FFF2-40B4-BE49-F238E27FC236}">
                  <a16:creationId xmlns="" xmlns:a16="http://schemas.microsoft.com/office/drawing/2014/main" id="{00000000-0008-0000-12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20481" name="backMenuBtn"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0</xdr:row>
          <xdr:rowOff>0</xdr:rowOff>
        </xdr:from>
        <xdr:to>
          <xdr:col>1</xdr:col>
          <xdr:colOff>1838325</xdr:colOff>
          <xdr:row>1</xdr:row>
          <xdr:rowOff>114300</xdr:rowOff>
        </xdr:to>
        <xdr:sp macro="" textlink="">
          <xdr:nvSpPr>
            <xdr:cNvPr id="20482" name="CommandButton1" hidden="1">
              <a:extLst>
                <a:ext uri="{63B3BB69-23CF-44E3-9099-C40C66FF867C}">
                  <a14:compatExt spid="_x0000_s20482"/>
                </a:ext>
                <a:ext uri="{FF2B5EF4-FFF2-40B4-BE49-F238E27FC236}">
                  <a16:creationId xmlns="" xmlns:a16="http://schemas.microsoft.com/office/drawing/2014/main" id="{00000000-0008-0000-13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1343025</xdr:colOff>
          <xdr:row>0</xdr:row>
          <xdr:rowOff>9525</xdr:rowOff>
        </xdr:from>
        <xdr:to>
          <xdr:col>1</xdr:col>
          <xdr:colOff>504825</xdr:colOff>
          <xdr:row>1</xdr:row>
          <xdr:rowOff>123825</xdr:rowOff>
        </xdr:to>
        <xdr:sp macro="" textlink="">
          <xdr:nvSpPr>
            <xdr:cNvPr id="20483" name="CommandButton2" hidden="1">
              <a:extLst>
                <a:ext uri="{63B3BB69-23CF-44E3-9099-C40C66FF867C}">
                  <a14:compatExt spid="_x0000_s20483"/>
                </a:ext>
                <a:ext uri="{FF2B5EF4-FFF2-40B4-BE49-F238E27FC236}">
                  <a16:creationId xmlns="" xmlns:a16="http://schemas.microsoft.com/office/drawing/2014/main" id="{00000000-0008-0000-13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21505" name="backMenuBtn" hidden="1">
              <a:extLst>
                <a:ext uri="{63B3BB69-23CF-44E3-9099-C40C66FF867C}">
                  <a14:compatExt spid="_x0000_s21505"/>
                </a:ext>
                <a:ext uri="{FF2B5EF4-FFF2-40B4-BE49-F238E27FC236}">
                  <a16:creationId xmlns="" xmlns:a16="http://schemas.microsoft.com/office/drawing/2014/main" id="{00000000-0008-0000-14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0</xdr:row>
          <xdr:rowOff>0</xdr:rowOff>
        </xdr:from>
        <xdr:to>
          <xdr:col>1</xdr:col>
          <xdr:colOff>1838325</xdr:colOff>
          <xdr:row>1</xdr:row>
          <xdr:rowOff>114300</xdr:rowOff>
        </xdr:to>
        <xdr:sp macro="" textlink="">
          <xdr:nvSpPr>
            <xdr:cNvPr id="21506" name="CommandButton1"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1343025</xdr:colOff>
          <xdr:row>0</xdr:row>
          <xdr:rowOff>9525</xdr:rowOff>
        </xdr:from>
        <xdr:to>
          <xdr:col>1</xdr:col>
          <xdr:colOff>504825</xdr:colOff>
          <xdr:row>1</xdr:row>
          <xdr:rowOff>123825</xdr:rowOff>
        </xdr:to>
        <xdr:sp macro="" textlink="">
          <xdr:nvSpPr>
            <xdr:cNvPr id="21507" name="CommandButton2" hidden="1">
              <a:extLst>
                <a:ext uri="{63B3BB69-23CF-44E3-9099-C40C66FF867C}">
                  <a14:compatExt spid="_x0000_s21507"/>
                </a:ext>
                <a:ext uri="{FF2B5EF4-FFF2-40B4-BE49-F238E27FC236}">
                  <a16:creationId xmlns="" xmlns:a16="http://schemas.microsoft.com/office/drawing/2014/main" id="{00000000-0008-0000-14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123825</xdr:rowOff>
        </xdr:to>
        <xdr:sp macro="" textlink="">
          <xdr:nvSpPr>
            <xdr:cNvPr id="22529" name="backMenuBtn"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657225</xdr:colOff>
          <xdr:row>0</xdr:row>
          <xdr:rowOff>0</xdr:rowOff>
        </xdr:from>
        <xdr:to>
          <xdr:col>1</xdr:col>
          <xdr:colOff>1857375</xdr:colOff>
          <xdr:row>1</xdr:row>
          <xdr:rowOff>114300</xdr:rowOff>
        </xdr:to>
        <xdr:sp macro="" textlink="">
          <xdr:nvSpPr>
            <xdr:cNvPr id="22530" name="CommandButton1" hidden="1">
              <a:extLst>
                <a:ext uri="{63B3BB69-23CF-44E3-9099-C40C66FF867C}">
                  <a14:compatExt spid="_x0000_s22530"/>
                </a:ext>
                <a:ext uri="{FF2B5EF4-FFF2-40B4-BE49-F238E27FC236}">
                  <a16:creationId xmlns="" xmlns:a16="http://schemas.microsoft.com/office/drawing/2014/main" id="{00000000-0008-0000-15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1362075</xdr:colOff>
          <xdr:row>0</xdr:row>
          <xdr:rowOff>9525</xdr:rowOff>
        </xdr:from>
        <xdr:to>
          <xdr:col>1</xdr:col>
          <xdr:colOff>523875</xdr:colOff>
          <xdr:row>1</xdr:row>
          <xdr:rowOff>123825</xdr:rowOff>
        </xdr:to>
        <xdr:sp macro="" textlink="">
          <xdr:nvSpPr>
            <xdr:cNvPr id="22531" name="CommandButton2" hidden="1">
              <a:extLst>
                <a:ext uri="{63B3BB69-23CF-44E3-9099-C40C66FF867C}">
                  <a14:compatExt spid="_x0000_s22531"/>
                </a:ext>
                <a:ext uri="{FF2B5EF4-FFF2-40B4-BE49-F238E27FC236}">
                  <a16:creationId xmlns="" xmlns:a16="http://schemas.microsoft.com/office/drawing/2014/main" id="{00000000-0008-0000-15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1200150</xdr:colOff>
          <xdr:row>1</xdr:row>
          <xdr:rowOff>95250</xdr:rowOff>
        </xdr:to>
        <xdr:sp macro="" textlink="">
          <xdr:nvSpPr>
            <xdr:cNvPr id="23553" name="backMenuBtn" hidden="1">
              <a:extLst>
                <a:ext uri="{63B3BB69-23CF-44E3-9099-C40C66FF867C}">
                  <a14:compatExt spid="_x0000_s23553"/>
                </a:ext>
                <a:ext uri="{FF2B5EF4-FFF2-40B4-BE49-F238E27FC236}">
                  <a16:creationId xmlns="" xmlns:a16="http://schemas.microsoft.com/office/drawing/2014/main" id="{00000000-0008-0000-16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1285875</xdr:colOff>
          <xdr:row>0</xdr:row>
          <xdr:rowOff>0</xdr:rowOff>
        </xdr:from>
        <xdr:to>
          <xdr:col>2</xdr:col>
          <xdr:colOff>1104900</xdr:colOff>
          <xdr:row>1</xdr:row>
          <xdr:rowOff>85725</xdr:rowOff>
        </xdr:to>
        <xdr:sp macro="" textlink="">
          <xdr:nvSpPr>
            <xdr:cNvPr id="23554" name="CommandButton1" hidden="1">
              <a:extLst>
                <a:ext uri="{63B3BB69-23CF-44E3-9099-C40C66FF867C}">
                  <a14:compatExt spid="_x0000_s23554"/>
                </a:ext>
                <a:ext uri="{FF2B5EF4-FFF2-40B4-BE49-F238E27FC236}">
                  <a16:creationId xmlns="" xmlns:a16="http://schemas.microsoft.com/office/drawing/2014/main" id="{00000000-0008-0000-1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1333500</xdr:colOff>
          <xdr:row>0</xdr:row>
          <xdr:rowOff>9525</xdr:rowOff>
        </xdr:from>
        <xdr:to>
          <xdr:col>1</xdr:col>
          <xdr:colOff>1152525</xdr:colOff>
          <xdr:row>1</xdr:row>
          <xdr:rowOff>95250</xdr:rowOff>
        </xdr:to>
        <xdr:sp macro="" textlink="">
          <xdr:nvSpPr>
            <xdr:cNvPr id="23555" name="CommandButton2" hidden="1">
              <a:extLst>
                <a:ext uri="{63B3BB69-23CF-44E3-9099-C40C66FF867C}">
                  <a14:compatExt spid="_x0000_s23555"/>
                </a:ext>
                <a:ext uri="{FF2B5EF4-FFF2-40B4-BE49-F238E27FC236}">
                  <a16:creationId xmlns="" xmlns:a16="http://schemas.microsoft.com/office/drawing/2014/main" id="{00000000-0008-0000-1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7.emf"/><Relationship Id="rId4" Type="http://schemas.openxmlformats.org/officeDocument/2006/relationships/control" Target="../activeX/activeX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1.xml"/><Relationship Id="rId5" Type="http://schemas.openxmlformats.org/officeDocument/2006/relationships/image" Target="../media/image14.emf"/><Relationship Id="rId4"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16.emf"/><Relationship Id="rId4" Type="http://schemas.openxmlformats.org/officeDocument/2006/relationships/control" Target="../activeX/activeX12.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6.xml"/><Relationship Id="rId5" Type="http://schemas.openxmlformats.org/officeDocument/2006/relationships/image" Target="../media/image19.emf"/><Relationship Id="rId4" Type="http://schemas.openxmlformats.org/officeDocument/2006/relationships/control" Target="../activeX/activeX15.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9.xml"/><Relationship Id="rId5" Type="http://schemas.openxmlformats.org/officeDocument/2006/relationships/image" Target="../media/image22.emf"/><Relationship Id="rId4" Type="http://schemas.openxmlformats.org/officeDocument/2006/relationships/control" Target="../activeX/activeX18.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2.xml"/><Relationship Id="rId5" Type="http://schemas.openxmlformats.org/officeDocument/2006/relationships/image" Target="../media/image25.emf"/><Relationship Id="rId4" Type="http://schemas.openxmlformats.org/officeDocument/2006/relationships/control" Target="../activeX/activeX21.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5.xml"/><Relationship Id="rId5" Type="http://schemas.openxmlformats.org/officeDocument/2006/relationships/image" Target="../media/image28.emf"/><Relationship Id="rId4" Type="http://schemas.openxmlformats.org/officeDocument/2006/relationships/control" Target="../activeX/activeX24.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8.xml"/><Relationship Id="rId5" Type="http://schemas.openxmlformats.org/officeDocument/2006/relationships/image" Target="../media/image31.emf"/><Relationship Id="rId4" Type="http://schemas.openxmlformats.org/officeDocument/2006/relationships/control" Target="../activeX/activeX27.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2.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5.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4.xml"/><Relationship Id="rId5" Type="http://schemas.openxmlformats.org/officeDocument/2006/relationships/image" Target="../media/image37.emf"/><Relationship Id="rId4" Type="http://schemas.openxmlformats.org/officeDocument/2006/relationships/control" Target="../activeX/activeX33.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38.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1.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40.xml"/><Relationship Id="rId5" Type="http://schemas.openxmlformats.org/officeDocument/2006/relationships/image" Target="../media/image43.emf"/><Relationship Id="rId4" Type="http://schemas.openxmlformats.org/officeDocument/2006/relationships/control" Target="../activeX/activeX39.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4.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46.emf"/><Relationship Id="rId4" Type="http://schemas.openxmlformats.org/officeDocument/2006/relationships/control" Target="../activeX/activeX42.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7.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6.xml"/><Relationship Id="rId5" Type="http://schemas.openxmlformats.org/officeDocument/2006/relationships/image" Target="../media/image49.emf"/><Relationship Id="rId4" Type="http://schemas.openxmlformats.org/officeDocument/2006/relationships/control" Target="../activeX/activeX45.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0.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9.xml"/><Relationship Id="rId5" Type="http://schemas.openxmlformats.org/officeDocument/2006/relationships/image" Target="../media/image52.emf"/><Relationship Id="rId4" Type="http://schemas.openxmlformats.org/officeDocument/2006/relationships/control" Target="../activeX/activeX48.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3.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2.xml"/><Relationship Id="rId5" Type="http://schemas.openxmlformats.org/officeDocument/2006/relationships/image" Target="../media/image55.emf"/><Relationship Id="rId4" Type="http://schemas.openxmlformats.org/officeDocument/2006/relationships/control" Target="../activeX/activeX51.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5.xml"/><Relationship Id="rId5" Type="http://schemas.openxmlformats.org/officeDocument/2006/relationships/image" Target="../media/image58.emf"/><Relationship Id="rId4" Type="http://schemas.openxmlformats.org/officeDocument/2006/relationships/control" Target="../activeX/activeX54.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image" Target="../media/image63.emf"/><Relationship Id="rId3" Type="http://schemas.openxmlformats.org/officeDocument/2006/relationships/control" Target="../activeX/activeX57.xml"/><Relationship Id="rId7" Type="http://schemas.openxmlformats.org/officeDocument/2006/relationships/control" Target="../activeX/activeX59.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image" Target="../media/image62.emf"/><Relationship Id="rId5" Type="http://schemas.openxmlformats.org/officeDocument/2006/relationships/control" Target="../activeX/activeX58.xml"/><Relationship Id="rId4" Type="http://schemas.openxmlformats.org/officeDocument/2006/relationships/image" Target="../media/image6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A1:L28"/>
  <sheetViews>
    <sheetView showGridLines="0" tabSelected="1" zoomScale="85" zoomScaleNormal="85" workbookViewId="0">
      <selection activeCell="R10" sqref="R10"/>
    </sheetView>
  </sheetViews>
  <sheetFormatPr defaultRowHeight="15" x14ac:dyDescent="0.25"/>
  <cols>
    <col min="1" max="1" width="2.42578125" customWidth="1"/>
    <col min="2" max="2" width="28.7109375" customWidth="1"/>
    <col min="3" max="3" width="9.140625" style="345"/>
    <col min="11" max="11" width="34.7109375" customWidth="1"/>
    <col min="12" max="12" width="97" style="346" customWidth="1"/>
  </cols>
  <sheetData>
    <row r="1" spans="1:12" ht="21" x14ac:dyDescent="0.35">
      <c r="A1" s="354"/>
      <c r="B1" s="354"/>
      <c r="C1" s="355"/>
      <c r="D1" s="354"/>
      <c r="E1" s="354"/>
      <c r="F1" s="354"/>
      <c r="G1" s="354"/>
      <c r="H1" s="354"/>
      <c r="I1" s="354"/>
      <c r="J1" s="354"/>
      <c r="K1" s="399" t="s">
        <v>773</v>
      </c>
      <c r="L1" s="399"/>
    </row>
    <row r="2" spans="1:12" x14ac:dyDescent="0.25">
      <c r="A2" s="354"/>
      <c r="B2" s="354"/>
      <c r="C2" s="355"/>
      <c r="D2" s="354"/>
      <c r="E2" s="354"/>
      <c r="F2" s="354"/>
      <c r="G2" s="354"/>
      <c r="H2" s="354"/>
      <c r="I2" s="354"/>
      <c r="J2" s="354"/>
      <c r="K2" s="354"/>
      <c r="L2" s="356"/>
    </row>
    <row r="3" spans="1:12" x14ac:dyDescent="0.25">
      <c r="A3" s="354"/>
      <c r="B3" s="354"/>
      <c r="C3" s="355" t="s">
        <v>759</v>
      </c>
      <c r="D3" s="354"/>
      <c r="E3" s="354"/>
      <c r="F3" s="354"/>
      <c r="G3" s="354"/>
      <c r="H3" s="354"/>
      <c r="I3" s="354"/>
      <c r="J3" s="354"/>
      <c r="K3" s="401" t="s">
        <v>768</v>
      </c>
      <c r="L3" s="357" t="s">
        <v>769</v>
      </c>
    </row>
    <row r="4" spans="1:12" x14ac:dyDescent="0.25">
      <c r="A4" s="354"/>
      <c r="B4" s="354"/>
      <c r="C4" s="355"/>
      <c r="D4" s="354"/>
      <c r="E4" s="354"/>
      <c r="F4" s="354"/>
      <c r="G4" s="354"/>
      <c r="H4" s="354"/>
      <c r="I4" s="354"/>
      <c r="J4" s="354"/>
      <c r="K4" s="402"/>
      <c r="L4" s="396" t="s">
        <v>774</v>
      </c>
    </row>
    <row r="5" spans="1:12" x14ac:dyDescent="0.25">
      <c r="A5" s="354"/>
      <c r="B5" s="354"/>
      <c r="C5" s="355" t="s">
        <v>755</v>
      </c>
      <c r="D5" s="354"/>
      <c r="E5" s="354"/>
      <c r="F5" s="354"/>
      <c r="G5" s="354"/>
      <c r="H5" s="354"/>
      <c r="I5" s="354"/>
      <c r="J5" s="354"/>
      <c r="K5" s="403"/>
      <c r="L5" s="397"/>
    </row>
    <row r="6" spans="1:12" x14ac:dyDescent="0.25">
      <c r="A6" s="354"/>
      <c r="B6" s="354"/>
      <c r="C6" s="355"/>
      <c r="D6" s="354"/>
      <c r="E6" s="354"/>
      <c r="F6" s="354"/>
      <c r="G6" s="354"/>
      <c r="H6" s="354"/>
      <c r="I6" s="354"/>
      <c r="J6" s="354"/>
      <c r="K6" s="395" t="s">
        <v>770</v>
      </c>
      <c r="L6" s="398" t="s">
        <v>771</v>
      </c>
    </row>
    <row r="7" spans="1:12" x14ac:dyDescent="0.25">
      <c r="A7" s="354"/>
      <c r="B7" s="354"/>
      <c r="C7" s="355" t="s">
        <v>758</v>
      </c>
      <c r="D7" s="354"/>
      <c r="E7" s="354"/>
      <c r="F7" s="354"/>
      <c r="G7" s="354"/>
      <c r="H7" s="354"/>
      <c r="I7" s="354"/>
      <c r="J7" s="354"/>
      <c r="K7" s="395"/>
      <c r="L7" s="398"/>
    </row>
    <row r="8" spans="1:12" x14ac:dyDescent="0.25">
      <c r="A8" s="354"/>
      <c r="B8" s="354"/>
      <c r="C8" s="355"/>
      <c r="D8" s="354"/>
      <c r="E8" s="354"/>
      <c r="F8" s="354"/>
      <c r="G8" s="354"/>
      <c r="H8" s="354"/>
      <c r="I8" s="354"/>
      <c r="J8" s="354"/>
      <c r="K8" s="354"/>
      <c r="L8" s="356"/>
    </row>
    <row r="9" spans="1:12" x14ac:dyDescent="0.25">
      <c r="A9" s="354"/>
      <c r="B9" s="354"/>
      <c r="C9" s="355" t="s">
        <v>757</v>
      </c>
      <c r="D9" s="354"/>
      <c r="E9" s="354"/>
      <c r="F9" s="354"/>
      <c r="G9" s="354"/>
      <c r="H9" s="354"/>
      <c r="I9" s="354"/>
      <c r="J9" s="354"/>
      <c r="K9" s="358" t="s">
        <v>772</v>
      </c>
      <c r="L9" s="400" t="s">
        <v>791</v>
      </c>
    </row>
    <row r="10" spans="1:12" x14ac:dyDescent="0.25">
      <c r="A10" s="354"/>
      <c r="B10" s="354"/>
      <c r="C10" s="355"/>
      <c r="D10" s="354"/>
      <c r="E10" s="354"/>
      <c r="F10" s="354"/>
      <c r="G10" s="354"/>
      <c r="H10" s="354"/>
      <c r="I10" s="354"/>
      <c r="J10" s="354"/>
      <c r="K10" s="359"/>
      <c r="L10" s="396"/>
    </row>
    <row r="11" spans="1:12" x14ac:dyDescent="0.25">
      <c r="A11" s="354"/>
      <c r="B11" s="354"/>
      <c r="C11" s="355" t="s">
        <v>756</v>
      </c>
      <c r="D11" s="354"/>
      <c r="E11" s="354"/>
      <c r="F11" s="354"/>
      <c r="G11" s="354"/>
      <c r="H11" s="354"/>
      <c r="I11" s="354"/>
      <c r="J11" s="354"/>
      <c r="K11" s="359"/>
      <c r="L11" s="360" t="s">
        <v>792</v>
      </c>
    </row>
    <row r="12" spans="1:12" x14ac:dyDescent="0.25">
      <c r="A12" s="354"/>
      <c r="B12" s="354"/>
      <c r="C12" s="355"/>
      <c r="D12" s="354"/>
      <c r="E12" s="354"/>
      <c r="F12" s="354"/>
      <c r="G12" s="354"/>
      <c r="H12" s="354"/>
      <c r="I12" s="354"/>
      <c r="J12" s="354"/>
      <c r="K12" s="359"/>
      <c r="L12" s="360" t="s">
        <v>793</v>
      </c>
    </row>
    <row r="13" spans="1:12" x14ac:dyDescent="0.25">
      <c r="A13" s="354"/>
      <c r="B13" s="354"/>
      <c r="C13" s="355" t="s">
        <v>754</v>
      </c>
      <c r="D13" s="354"/>
      <c r="E13" s="354"/>
      <c r="F13" s="354"/>
      <c r="G13" s="354"/>
      <c r="H13" s="354"/>
      <c r="I13" s="354"/>
      <c r="J13" s="354"/>
      <c r="K13" s="359"/>
      <c r="L13" s="360" t="s">
        <v>796</v>
      </c>
    </row>
    <row r="14" spans="1:12" ht="15.75" x14ac:dyDescent="0.25">
      <c r="A14" s="354"/>
      <c r="B14" s="354"/>
      <c r="C14" s="355"/>
      <c r="D14" s="354"/>
      <c r="E14" s="354"/>
      <c r="F14" s="354"/>
      <c r="G14" s="354"/>
      <c r="H14" s="354"/>
      <c r="I14" s="354"/>
      <c r="J14" s="354"/>
      <c r="K14" s="359"/>
      <c r="L14" s="361" t="s">
        <v>795</v>
      </c>
    </row>
    <row r="15" spans="1:12" ht="15.75" x14ac:dyDescent="0.25">
      <c r="A15" s="354"/>
      <c r="B15" s="354"/>
      <c r="C15" s="355"/>
      <c r="D15" s="354"/>
      <c r="E15" s="354"/>
      <c r="F15" s="354"/>
      <c r="G15" s="354"/>
      <c r="H15" s="354"/>
      <c r="I15" s="354"/>
      <c r="J15" s="354"/>
      <c r="K15" s="362"/>
      <c r="L15" s="363"/>
    </row>
    <row r="16" spans="1:12" x14ac:dyDescent="0.25">
      <c r="A16" s="354"/>
      <c r="B16" s="354"/>
      <c r="C16" s="355"/>
      <c r="D16" s="354"/>
      <c r="E16" s="354"/>
      <c r="F16" s="354"/>
      <c r="G16" s="354"/>
      <c r="H16" s="354"/>
      <c r="I16" s="354"/>
      <c r="J16" s="354"/>
      <c r="K16" s="354"/>
      <c r="L16" s="356"/>
    </row>
    <row r="17" spans="1:12" ht="30" x14ac:dyDescent="0.25">
      <c r="A17" s="354"/>
      <c r="B17" s="354"/>
      <c r="C17" s="355"/>
      <c r="D17" s="354"/>
      <c r="E17" s="354"/>
      <c r="F17" s="354"/>
      <c r="G17" s="354"/>
      <c r="H17" s="354"/>
      <c r="I17" s="354"/>
      <c r="J17" s="354"/>
      <c r="K17" s="364" t="s">
        <v>777</v>
      </c>
      <c r="L17" s="365" t="s">
        <v>775</v>
      </c>
    </row>
    <row r="18" spans="1:12" x14ac:dyDescent="0.25">
      <c r="A18" s="354"/>
      <c r="B18" s="354"/>
      <c r="C18" s="355"/>
      <c r="D18" s="354"/>
      <c r="E18" s="354"/>
      <c r="F18" s="354"/>
      <c r="G18" s="354"/>
      <c r="H18" s="354"/>
      <c r="I18" s="354"/>
      <c r="J18" s="354"/>
      <c r="K18" s="362"/>
      <c r="L18" s="366" t="s">
        <v>776</v>
      </c>
    </row>
    <row r="19" spans="1:12" x14ac:dyDescent="0.25">
      <c r="A19" s="354"/>
      <c r="B19" s="354"/>
      <c r="C19" s="355"/>
      <c r="D19" s="354"/>
      <c r="E19" s="354"/>
      <c r="F19" s="354"/>
      <c r="G19" s="354"/>
      <c r="H19" s="354"/>
      <c r="I19" s="354"/>
      <c r="J19" s="354"/>
      <c r="K19" s="354"/>
      <c r="L19" s="356"/>
    </row>
    <row r="20" spans="1:12" ht="30" x14ac:dyDescent="0.25">
      <c r="A20" s="354"/>
      <c r="B20" s="354"/>
      <c r="C20" s="355"/>
      <c r="D20" s="354"/>
      <c r="E20" s="354"/>
      <c r="F20" s="354"/>
      <c r="G20" s="354"/>
      <c r="H20" s="354"/>
      <c r="I20" s="354"/>
      <c r="J20" s="354"/>
      <c r="K20" s="367" t="s">
        <v>778</v>
      </c>
      <c r="L20" s="368" t="s">
        <v>779</v>
      </c>
    </row>
    <row r="21" spans="1:12" x14ac:dyDescent="0.25">
      <c r="A21" s="354"/>
      <c r="B21" s="354"/>
      <c r="C21" s="355"/>
      <c r="D21" s="354"/>
      <c r="E21" s="354"/>
      <c r="F21" s="354"/>
      <c r="G21" s="354"/>
      <c r="H21" s="354"/>
      <c r="I21" s="354"/>
      <c r="J21" s="354"/>
      <c r="K21" s="354"/>
      <c r="L21" s="356"/>
    </row>
    <row r="22" spans="1:12" x14ac:dyDescent="0.25">
      <c r="A22" s="354"/>
      <c r="B22" s="354"/>
      <c r="C22" s="355"/>
      <c r="D22" s="354"/>
      <c r="E22" s="354"/>
      <c r="F22" s="354"/>
      <c r="G22" s="354"/>
      <c r="H22" s="354"/>
      <c r="I22" s="354"/>
      <c r="J22" s="354"/>
      <c r="K22" s="369" t="s">
        <v>780</v>
      </c>
      <c r="L22" s="356"/>
    </row>
    <row r="23" spans="1:12" x14ac:dyDescent="0.25">
      <c r="A23" s="354"/>
      <c r="B23" s="354"/>
      <c r="C23" s="355"/>
      <c r="D23" s="354"/>
      <c r="E23" s="354"/>
      <c r="F23" s="354"/>
      <c r="G23" s="354"/>
      <c r="H23" s="354"/>
      <c r="I23" s="354"/>
      <c r="J23" s="354"/>
      <c r="K23" s="354"/>
      <c r="L23" s="356"/>
    </row>
    <row r="24" spans="1:12" ht="45" x14ac:dyDescent="0.25">
      <c r="A24" s="354"/>
      <c r="B24" s="354"/>
      <c r="C24" s="355"/>
      <c r="D24" s="354"/>
      <c r="E24" s="354"/>
      <c r="F24" s="354"/>
      <c r="G24" s="354"/>
      <c r="H24" s="354"/>
      <c r="I24" s="354"/>
      <c r="J24" s="354"/>
      <c r="K24" s="367" t="s">
        <v>781</v>
      </c>
      <c r="L24" s="368" t="s">
        <v>782</v>
      </c>
    </row>
    <row r="25" spans="1:12" ht="30" x14ac:dyDescent="0.25">
      <c r="A25" s="354"/>
      <c r="B25" s="354"/>
      <c r="C25" s="355"/>
      <c r="D25" s="354"/>
      <c r="E25" s="354"/>
      <c r="F25" s="354"/>
      <c r="G25" s="354"/>
      <c r="H25" s="354"/>
      <c r="I25" s="354"/>
      <c r="J25" s="354"/>
      <c r="K25" s="367" t="s">
        <v>783</v>
      </c>
      <c r="L25" s="370" t="s">
        <v>784</v>
      </c>
    </row>
    <row r="26" spans="1:12" x14ac:dyDescent="0.25">
      <c r="A26" s="354"/>
      <c r="B26" s="354"/>
      <c r="C26" s="355"/>
      <c r="D26" s="354"/>
      <c r="E26" s="354"/>
      <c r="F26" s="354"/>
      <c r="G26" s="354"/>
      <c r="H26" s="354"/>
      <c r="I26" s="354"/>
      <c r="J26" s="354"/>
      <c r="K26" s="371" t="s">
        <v>785</v>
      </c>
      <c r="L26" s="372" t="s">
        <v>786</v>
      </c>
    </row>
    <row r="27" spans="1:12" ht="30" x14ac:dyDescent="0.25">
      <c r="A27" s="354"/>
      <c r="B27" s="354"/>
      <c r="C27" s="355"/>
      <c r="D27" s="354"/>
      <c r="E27" s="354"/>
      <c r="F27" s="354"/>
      <c r="G27" s="354"/>
      <c r="H27" s="354"/>
      <c r="I27" s="354"/>
      <c r="J27" s="354"/>
      <c r="K27" s="373" t="s">
        <v>787</v>
      </c>
      <c r="L27" s="368" t="s">
        <v>788</v>
      </c>
    </row>
    <row r="28" spans="1:12" ht="30" x14ac:dyDescent="0.25">
      <c r="A28" s="354"/>
      <c r="B28" s="354"/>
      <c r="C28" s="355"/>
      <c r="D28" s="354"/>
      <c r="E28" s="354"/>
      <c r="F28" s="354"/>
      <c r="G28" s="354"/>
      <c r="H28" s="354"/>
      <c r="I28" s="354"/>
      <c r="J28" s="354"/>
      <c r="K28" s="374" t="s">
        <v>789</v>
      </c>
      <c r="L28" s="372" t="s">
        <v>790</v>
      </c>
    </row>
  </sheetData>
  <sheetProtection algorithmName="SHA-512" hashValue="oHlIn2AVmuayhcvPeosOK57CKmRVcz1j7TcIBiRP8kSuN2o9Wsqwf6+Jvm/N0gw/Fq6wXrca2Ud60F9O4lw2fg==" saltValue="w5lXuBELyqNhDm74nW7J+g==" spinCount="100000" sheet="1" objects="1" scenarios="1"/>
  <mergeCells count="6">
    <mergeCell ref="K6:K7"/>
    <mergeCell ref="L4:L5"/>
    <mergeCell ref="L6:L7"/>
    <mergeCell ref="K1:L1"/>
    <mergeCell ref="L9:L10"/>
    <mergeCell ref="K3:K5"/>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RcmBtn">
          <controlPr defaultSize="0" autoLine="0" r:id="rId5">
            <anchor moveWithCells="1">
              <from>
                <xdr:col>0</xdr:col>
                <xdr:colOff>123825</xdr:colOff>
                <xdr:row>3</xdr:row>
                <xdr:rowOff>114300</xdr:rowOff>
              </from>
              <to>
                <xdr:col>1</xdr:col>
                <xdr:colOff>1809750</xdr:colOff>
                <xdr:row>5</xdr:row>
                <xdr:rowOff>85725</xdr:rowOff>
              </to>
            </anchor>
          </controlPr>
        </control>
      </mc:Choice>
      <mc:Fallback>
        <control shapeId="2053" r:id="rId4" name="RcmBtn"/>
      </mc:Fallback>
    </mc:AlternateContent>
    <mc:AlternateContent xmlns:mc="http://schemas.openxmlformats.org/markup-compatibility/2006">
      <mc:Choice Requires="x14">
        <control shapeId="2052" r:id="rId6" name="NarrBtn">
          <controlPr defaultSize="0" autoLine="0" r:id="rId7">
            <anchor moveWithCells="1">
              <from>
                <xdr:col>0</xdr:col>
                <xdr:colOff>133350</xdr:colOff>
                <xdr:row>1</xdr:row>
                <xdr:rowOff>114300</xdr:rowOff>
              </from>
              <to>
                <xdr:col>1</xdr:col>
                <xdr:colOff>1819275</xdr:colOff>
                <xdr:row>3</xdr:row>
                <xdr:rowOff>85725</xdr:rowOff>
              </to>
            </anchor>
          </controlPr>
        </control>
      </mc:Choice>
      <mc:Fallback>
        <control shapeId="2052" r:id="rId6" name="NarrBtn"/>
      </mc:Fallback>
    </mc:AlternateContent>
    <mc:AlternateContent xmlns:mc="http://schemas.openxmlformats.org/markup-compatibility/2006">
      <mc:Choice Requires="x14">
        <control shapeId="2054" r:id="rId8" name="FlowBtn">
          <controlPr defaultSize="0" autoLine="0" r:id="rId9">
            <anchor moveWithCells="1">
              <from>
                <xdr:col>0</xdr:col>
                <xdr:colOff>123825</xdr:colOff>
                <xdr:row>5</xdr:row>
                <xdr:rowOff>114300</xdr:rowOff>
              </from>
              <to>
                <xdr:col>1</xdr:col>
                <xdr:colOff>1809750</xdr:colOff>
                <xdr:row>7</xdr:row>
                <xdr:rowOff>85725</xdr:rowOff>
              </to>
            </anchor>
          </controlPr>
        </control>
      </mc:Choice>
      <mc:Fallback>
        <control shapeId="2054" r:id="rId8" name="FlowBtn"/>
      </mc:Fallback>
    </mc:AlternateContent>
    <mc:AlternateContent xmlns:mc="http://schemas.openxmlformats.org/markup-compatibility/2006">
      <mc:Choice Requires="x14">
        <control shapeId="2055" r:id="rId10" name="WalkBtn">
          <controlPr defaultSize="0" autoLine="0" r:id="rId11">
            <anchor moveWithCells="1">
              <from>
                <xdr:col>0</xdr:col>
                <xdr:colOff>133350</xdr:colOff>
                <xdr:row>7</xdr:row>
                <xdr:rowOff>133350</xdr:rowOff>
              </from>
              <to>
                <xdr:col>1</xdr:col>
                <xdr:colOff>1819275</xdr:colOff>
                <xdr:row>9</xdr:row>
                <xdr:rowOff>104775</xdr:rowOff>
              </to>
            </anchor>
          </controlPr>
        </control>
      </mc:Choice>
      <mc:Fallback>
        <control shapeId="2055" r:id="rId10" name="WalkBtn"/>
      </mc:Fallback>
    </mc:AlternateContent>
    <mc:AlternateContent xmlns:mc="http://schemas.openxmlformats.org/markup-compatibility/2006">
      <mc:Choice Requires="x14">
        <control shapeId="2056" r:id="rId12" name="WorkBtn">
          <controlPr defaultSize="0" autoLine="0" r:id="rId13">
            <anchor moveWithCells="1">
              <from>
                <xdr:col>0</xdr:col>
                <xdr:colOff>133350</xdr:colOff>
                <xdr:row>9</xdr:row>
                <xdr:rowOff>133350</xdr:rowOff>
              </from>
              <to>
                <xdr:col>1</xdr:col>
                <xdr:colOff>1819275</xdr:colOff>
                <xdr:row>11</xdr:row>
                <xdr:rowOff>104775</xdr:rowOff>
              </to>
            </anchor>
          </controlPr>
        </control>
      </mc:Choice>
      <mc:Fallback>
        <control shapeId="2056" r:id="rId12" name="WorkBtn"/>
      </mc:Fallback>
    </mc:AlternateContent>
    <mc:AlternateContent xmlns:mc="http://schemas.openxmlformats.org/markup-compatibility/2006">
      <mc:Choice Requires="x14">
        <control shapeId="2057" r:id="rId14" name="CommandButton1">
          <controlPr defaultSize="0" autoLine="0" r:id="rId15">
            <anchor moveWithCells="1">
              <from>
                <xdr:col>0</xdr:col>
                <xdr:colOff>133350</xdr:colOff>
                <xdr:row>11</xdr:row>
                <xdr:rowOff>133350</xdr:rowOff>
              </from>
              <to>
                <xdr:col>1</xdr:col>
                <xdr:colOff>1819275</xdr:colOff>
                <xdr:row>13</xdr:row>
                <xdr:rowOff>104775</xdr:rowOff>
              </to>
            </anchor>
          </controlPr>
        </control>
      </mc:Choice>
      <mc:Fallback>
        <control shapeId="2057" r:id="rId1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K140"/>
  <sheetViews>
    <sheetView showGridLines="0" zoomScaleNormal="100" workbookViewId="0">
      <pane ySplit="7" topLeftCell="A131" activePane="bottomLeft" state="frozen"/>
      <selection activeCell="C156" sqref="C156"/>
      <selection pane="bottomLeft" activeCell="C156" sqref="C156"/>
    </sheetView>
  </sheetViews>
  <sheetFormatPr defaultColWidth="9.42578125" defaultRowHeight="12.75" outlineLevelCol="1" x14ac:dyDescent="0.25"/>
  <cols>
    <col min="1" max="2" width="14.140625" style="7" customWidth="1"/>
    <col min="3" max="4" width="33.140625" style="7" customWidth="1"/>
    <col min="5" max="6" width="30.85546875" style="7" customWidth="1"/>
    <col min="7" max="7" width="1.85546875" style="7" customWidth="1" outlineLevel="1"/>
    <col min="8" max="8" width="15.85546875" style="7" customWidth="1" outlineLevel="1"/>
    <col min="9" max="9" width="1.85546875" style="7" customWidth="1" outlineLevel="1"/>
    <col min="10" max="10" width="15.85546875" style="7" customWidth="1" outlineLevel="1"/>
    <col min="11" max="11" width="1.85546875" style="6" customWidth="1"/>
    <col min="12" max="16384" width="9.42578125" style="7"/>
  </cols>
  <sheetData>
    <row r="1" spans="1:11" x14ac:dyDescent="0.25">
      <c r="A1" s="7" t="s">
        <v>751</v>
      </c>
    </row>
    <row r="3" spans="1:11" s="1" customFormat="1" ht="12.75" customHeight="1" x14ac:dyDescent="0.25">
      <c r="A3" s="406" t="s">
        <v>0</v>
      </c>
      <c r="B3" s="406"/>
      <c r="C3" s="406"/>
      <c r="D3" s="406"/>
      <c r="E3" s="406"/>
      <c r="F3" s="406"/>
      <c r="G3" s="406"/>
      <c r="H3" s="406"/>
      <c r="I3" s="406"/>
      <c r="J3" s="406"/>
      <c r="K3" s="375"/>
    </row>
    <row r="4" spans="1:11" s="4" customFormat="1" ht="12.75" customHeight="1" x14ac:dyDescent="0.2">
      <c r="A4" s="376" t="s">
        <v>1</v>
      </c>
      <c r="B4" s="377"/>
      <c r="C4" s="377"/>
      <c r="D4" s="377"/>
      <c r="E4" s="377"/>
      <c r="F4" s="378"/>
      <c r="G4" s="378"/>
      <c r="H4" s="377"/>
      <c r="I4" s="377"/>
      <c r="J4" s="379"/>
      <c r="K4" s="380"/>
    </row>
    <row r="5" spans="1:11" s="5" customFormat="1" ht="12.75" customHeight="1" x14ac:dyDescent="0.2">
      <c r="A5" s="376" t="s">
        <v>2</v>
      </c>
      <c r="B5" s="377"/>
      <c r="C5" s="377"/>
      <c r="D5" s="377"/>
      <c r="E5" s="377"/>
      <c r="F5" s="378"/>
      <c r="G5" s="378"/>
      <c r="H5" s="377"/>
      <c r="I5" s="377"/>
      <c r="J5" s="379"/>
      <c r="K5" s="381"/>
    </row>
    <row r="6" spans="1:11" ht="12.75" customHeight="1" x14ac:dyDescent="0.2">
      <c r="A6" s="376" t="s">
        <v>3</v>
      </c>
      <c r="B6" s="377"/>
      <c r="C6" s="377"/>
      <c r="D6" s="377"/>
      <c r="E6" s="377"/>
      <c r="F6" s="378"/>
      <c r="G6" s="378"/>
      <c r="H6" s="377"/>
      <c r="I6" s="377"/>
      <c r="J6" s="379"/>
      <c r="K6" s="382"/>
    </row>
    <row r="7" spans="1:11" s="8" customFormat="1" ht="12.75" customHeight="1" x14ac:dyDescent="0.25">
      <c r="A7" s="383">
        <v>13.5</v>
      </c>
      <c r="B7" s="383">
        <v>13.5</v>
      </c>
      <c r="C7" s="383">
        <v>32.5</v>
      </c>
      <c r="D7" s="383">
        <v>32.5</v>
      </c>
      <c r="E7" s="383">
        <v>30</v>
      </c>
      <c r="F7" s="383">
        <v>30</v>
      </c>
      <c r="G7" s="383">
        <v>1</v>
      </c>
      <c r="H7" s="384">
        <v>15</v>
      </c>
      <c r="I7" s="384">
        <v>1</v>
      </c>
      <c r="J7" s="385">
        <v>15</v>
      </c>
      <c r="K7" s="386">
        <v>1</v>
      </c>
    </row>
    <row r="8" spans="1:11" ht="12.75" customHeight="1" x14ac:dyDescent="0.25">
      <c r="A8" s="387" t="s">
        <v>4</v>
      </c>
      <c r="B8" s="388"/>
      <c r="C8" s="388"/>
      <c r="D8" s="389"/>
      <c r="E8" s="390" t="s">
        <v>5</v>
      </c>
      <c r="F8" s="391"/>
      <c r="G8" s="392"/>
      <c r="H8" s="393"/>
      <c r="I8" s="393"/>
      <c r="J8" s="394"/>
      <c r="K8" s="382"/>
    </row>
    <row r="9" spans="1:11" ht="12.75" customHeight="1" x14ac:dyDescent="0.25">
      <c r="A9" s="15"/>
      <c r="B9" s="16"/>
      <c r="C9" s="16"/>
      <c r="D9" s="17"/>
      <c r="E9" s="18"/>
      <c r="F9" s="19"/>
      <c r="G9" s="20"/>
      <c r="H9" s="21"/>
      <c r="I9" s="21"/>
      <c r="J9" s="22"/>
    </row>
    <row r="10" spans="1:11" ht="12.75" customHeight="1" x14ac:dyDescent="0.25">
      <c r="A10" s="9" t="s">
        <v>6</v>
      </c>
      <c r="B10" s="10"/>
      <c r="C10" s="10"/>
      <c r="D10" s="11"/>
      <c r="E10" s="23" t="s">
        <v>7</v>
      </c>
      <c r="F10" s="12"/>
      <c r="G10" s="12"/>
      <c r="H10" s="12"/>
      <c r="I10" s="12"/>
      <c r="J10" s="24"/>
    </row>
    <row r="11" spans="1:11" ht="12.75" customHeight="1" x14ac:dyDescent="0.2">
      <c r="A11" s="25" t="s">
        <v>8</v>
      </c>
      <c r="B11" s="404" t="s">
        <v>9</v>
      </c>
      <c r="C11" s="404"/>
      <c r="D11" s="405"/>
      <c r="E11" s="26"/>
      <c r="F11" s="19"/>
      <c r="G11" s="27"/>
      <c r="H11" s="28"/>
      <c r="I11" s="28"/>
      <c r="J11" s="29"/>
    </row>
    <row r="12" spans="1:11" ht="12.75" customHeight="1" x14ac:dyDescent="0.2">
      <c r="A12" s="25" t="s">
        <v>10</v>
      </c>
      <c r="B12" s="404" t="s">
        <v>11</v>
      </c>
      <c r="C12" s="404"/>
      <c r="D12" s="405"/>
      <c r="E12" s="30" t="s">
        <v>12</v>
      </c>
      <c r="F12" s="19"/>
      <c r="G12" s="27"/>
      <c r="H12" s="28"/>
      <c r="I12" s="28"/>
      <c r="J12" s="29"/>
    </row>
    <row r="13" spans="1:11" ht="12.75" customHeight="1" x14ac:dyDescent="0.2">
      <c r="A13" s="25" t="s">
        <v>13</v>
      </c>
      <c r="B13" s="404" t="s">
        <v>14</v>
      </c>
      <c r="C13" s="404"/>
      <c r="D13" s="405"/>
      <c r="E13" s="31" t="s">
        <v>15</v>
      </c>
      <c r="F13" s="28" t="s">
        <v>16</v>
      </c>
      <c r="G13" s="32"/>
      <c r="H13" s="33"/>
      <c r="I13" s="33"/>
      <c r="J13" s="34"/>
    </row>
    <row r="14" spans="1:11" ht="12.75" customHeight="1" x14ac:dyDescent="0.2">
      <c r="A14" s="25" t="s">
        <v>17</v>
      </c>
      <c r="B14" s="352" t="s">
        <v>18</v>
      </c>
      <c r="C14" s="352"/>
      <c r="D14" s="353"/>
      <c r="E14" s="31" t="s">
        <v>19</v>
      </c>
      <c r="F14" s="28" t="s">
        <v>20</v>
      </c>
      <c r="G14" s="35"/>
      <c r="H14" s="33"/>
      <c r="I14" s="33"/>
      <c r="J14" s="34"/>
    </row>
    <row r="15" spans="1:11" ht="12.75" customHeight="1" x14ac:dyDescent="0.2">
      <c r="A15" s="25" t="s">
        <v>21</v>
      </c>
      <c r="B15" s="404" t="s">
        <v>22</v>
      </c>
      <c r="C15" s="404"/>
      <c r="D15" s="405"/>
      <c r="E15" s="36" t="s">
        <v>23</v>
      </c>
      <c r="F15" s="33" t="s">
        <v>24</v>
      </c>
      <c r="G15" s="35"/>
      <c r="H15" s="33"/>
      <c r="I15" s="33"/>
      <c r="J15" s="34"/>
    </row>
    <row r="16" spans="1:11" ht="12.75" customHeight="1" x14ac:dyDescent="0.2">
      <c r="A16" s="25" t="s">
        <v>25</v>
      </c>
      <c r="B16" s="352" t="s">
        <v>26</v>
      </c>
      <c r="C16" s="352"/>
      <c r="D16" s="353"/>
      <c r="E16" s="37" t="s">
        <v>27</v>
      </c>
      <c r="F16" s="38" t="s">
        <v>28</v>
      </c>
      <c r="G16" s="35"/>
      <c r="H16" s="33"/>
      <c r="I16" s="33"/>
      <c r="J16" s="34"/>
    </row>
    <row r="17" spans="1:10" ht="12.75" customHeight="1" x14ac:dyDescent="0.2">
      <c r="A17" s="25" t="s">
        <v>29</v>
      </c>
      <c r="B17" s="404" t="s">
        <v>30</v>
      </c>
      <c r="C17" s="404"/>
      <c r="D17" s="405"/>
      <c r="E17" s="37"/>
      <c r="F17" s="39"/>
      <c r="G17" s="35"/>
      <c r="H17" s="33"/>
      <c r="I17" s="33"/>
      <c r="J17" s="34"/>
    </row>
    <row r="18" spans="1:10" ht="12.75" customHeight="1" x14ac:dyDescent="0.2">
      <c r="A18" s="40"/>
      <c r="B18" s="41"/>
      <c r="C18" s="41"/>
      <c r="D18" s="42"/>
      <c r="E18" s="43"/>
      <c r="F18" s="33"/>
      <c r="G18" s="44"/>
      <c r="H18" s="45"/>
      <c r="I18" s="45"/>
      <c r="J18" s="46"/>
    </row>
    <row r="19" spans="1:10" ht="12.75" customHeight="1" x14ac:dyDescent="0.25">
      <c r="A19" s="9" t="s">
        <v>31</v>
      </c>
      <c r="B19" s="47"/>
      <c r="C19" s="47"/>
      <c r="D19" s="11"/>
      <c r="E19" s="48" t="s">
        <v>32</v>
      </c>
      <c r="F19" s="49"/>
      <c r="G19" s="50"/>
      <c r="H19" s="13"/>
      <c r="I19" s="13"/>
      <c r="J19" s="14"/>
    </row>
    <row r="20" spans="1:10" ht="12.75" customHeight="1" x14ac:dyDescent="0.2">
      <c r="A20" s="408" t="s">
        <v>33</v>
      </c>
      <c r="B20" s="409"/>
      <c r="C20" s="409"/>
      <c r="D20" s="51" t="s">
        <v>34</v>
      </c>
      <c r="E20" s="52" t="s">
        <v>35</v>
      </c>
      <c r="F20" s="53"/>
      <c r="G20" s="54"/>
      <c r="H20" s="55"/>
      <c r="I20" s="55"/>
      <c r="J20" s="56"/>
    </row>
    <row r="21" spans="1:10" ht="12.75" customHeight="1" x14ac:dyDescent="0.25">
      <c r="A21" s="408" t="s">
        <v>36</v>
      </c>
      <c r="B21" s="409"/>
      <c r="C21" s="409"/>
      <c r="D21" s="51" t="s">
        <v>37</v>
      </c>
      <c r="E21" s="57"/>
      <c r="F21" s="53"/>
      <c r="G21" s="54"/>
      <c r="H21" s="55"/>
      <c r="I21" s="55"/>
      <c r="J21" s="56"/>
    </row>
    <row r="22" spans="1:10" ht="12.75" customHeight="1" x14ac:dyDescent="0.25">
      <c r="A22" s="349" t="s">
        <v>38</v>
      </c>
      <c r="B22" s="350"/>
      <c r="C22" s="350"/>
      <c r="D22" s="58" t="s">
        <v>39</v>
      </c>
      <c r="E22" s="59" t="s">
        <v>40</v>
      </c>
      <c r="F22" s="53"/>
      <c r="G22" s="54"/>
      <c r="H22" s="55"/>
      <c r="I22" s="55"/>
      <c r="J22" s="56"/>
    </row>
    <row r="23" spans="1:10" ht="12.75" customHeight="1" x14ac:dyDescent="0.2">
      <c r="A23" s="60" t="s">
        <v>41</v>
      </c>
      <c r="B23" s="350"/>
      <c r="C23" s="350"/>
      <c r="D23" s="61" t="s">
        <v>42</v>
      </c>
      <c r="E23" s="62" t="s">
        <v>43</v>
      </c>
      <c r="F23" s="53"/>
      <c r="G23" s="54"/>
      <c r="H23" s="55"/>
      <c r="I23" s="55"/>
      <c r="J23" s="56"/>
    </row>
    <row r="24" spans="1:10" ht="12.75" customHeight="1" x14ac:dyDescent="0.2">
      <c r="A24" s="63" t="s">
        <v>44</v>
      </c>
      <c r="B24" s="64"/>
      <c r="C24" s="64"/>
      <c r="D24" s="65" t="s">
        <v>45</v>
      </c>
      <c r="E24" s="57"/>
      <c r="F24" s="53"/>
      <c r="G24" s="54"/>
      <c r="H24" s="55"/>
      <c r="I24" s="55"/>
      <c r="J24" s="56"/>
    </row>
    <row r="25" spans="1:10" ht="12.75" customHeight="1" x14ac:dyDescent="0.2">
      <c r="A25" s="63" t="s">
        <v>46</v>
      </c>
      <c r="B25" s="64"/>
      <c r="C25" s="64"/>
      <c r="D25" s="65" t="s">
        <v>47</v>
      </c>
      <c r="E25" s="59" t="s">
        <v>48</v>
      </c>
      <c r="F25" s="53"/>
      <c r="G25" s="54"/>
      <c r="H25" s="55"/>
      <c r="I25" s="55"/>
      <c r="J25" s="56"/>
    </row>
    <row r="26" spans="1:10" ht="12.75" customHeight="1" x14ac:dyDescent="0.2">
      <c r="A26" s="349" t="s">
        <v>49</v>
      </c>
      <c r="B26" s="350"/>
      <c r="C26" s="350"/>
      <c r="D26" s="66" t="s">
        <v>50</v>
      </c>
      <c r="E26" s="62" t="s">
        <v>51</v>
      </c>
      <c r="F26" s="53"/>
      <c r="G26" s="54"/>
      <c r="H26" s="55"/>
      <c r="I26" s="55"/>
      <c r="J26" s="56"/>
    </row>
    <row r="27" spans="1:10" ht="12.75" customHeight="1" x14ac:dyDescent="0.2">
      <c r="A27" s="349" t="s">
        <v>52</v>
      </c>
      <c r="B27" s="67"/>
      <c r="C27" s="67"/>
      <c r="D27" s="68" t="s">
        <v>53</v>
      </c>
      <c r="E27" s="52"/>
      <c r="F27" s="53"/>
      <c r="G27" s="54"/>
      <c r="H27" s="55"/>
      <c r="I27" s="55"/>
      <c r="J27" s="56"/>
    </row>
    <row r="28" spans="1:10" ht="12.75" customHeight="1" x14ac:dyDescent="0.25">
      <c r="A28" s="349" t="s">
        <v>54</v>
      </c>
      <c r="B28" s="67"/>
      <c r="C28" s="67"/>
      <c r="D28" s="68" t="s">
        <v>55</v>
      </c>
      <c r="E28" s="59" t="s">
        <v>56</v>
      </c>
      <c r="F28" s="53"/>
      <c r="G28" s="54"/>
      <c r="H28" s="55"/>
      <c r="I28" s="55"/>
      <c r="J28" s="56"/>
    </row>
    <row r="29" spans="1:10" ht="12.75" customHeight="1" x14ac:dyDescent="0.2">
      <c r="A29" s="349" t="s">
        <v>57</v>
      </c>
      <c r="B29" s="350"/>
      <c r="C29" s="350"/>
      <c r="D29" s="68" t="s">
        <v>58</v>
      </c>
      <c r="E29" s="62" t="s">
        <v>59</v>
      </c>
      <c r="F29" s="53"/>
      <c r="G29" s="54"/>
      <c r="H29" s="55"/>
      <c r="I29" s="55"/>
      <c r="J29" s="56"/>
    </row>
    <row r="30" spans="1:10" ht="12.75" customHeight="1" x14ac:dyDescent="0.2">
      <c r="A30" s="349" t="s">
        <v>60</v>
      </c>
      <c r="B30" s="350"/>
      <c r="C30" s="350"/>
      <c r="D30" s="68" t="s">
        <v>61</v>
      </c>
      <c r="E30" s="62" t="s">
        <v>62</v>
      </c>
      <c r="F30" s="69"/>
      <c r="G30" s="69"/>
      <c r="H30" s="69"/>
      <c r="I30" s="69"/>
      <c r="J30" s="70"/>
    </row>
    <row r="31" spans="1:10" ht="12.75" customHeight="1" x14ac:dyDescent="0.2">
      <c r="A31" s="349"/>
      <c r="B31" s="350"/>
      <c r="C31" s="350"/>
      <c r="D31" s="71"/>
      <c r="E31" s="62" t="s">
        <v>63</v>
      </c>
      <c r="F31" s="69"/>
      <c r="G31" s="69"/>
      <c r="H31" s="69"/>
      <c r="I31" s="69"/>
      <c r="J31" s="70"/>
    </row>
    <row r="32" spans="1:10" ht="12.75" customHeight="1" x14ac:dyDescent="0.2">
      <c r="A32" s="72" t="s">
        <v>64</v>
      </c>
      <c r="B32" s="350"/>
      <c r="C32" s="350"/>
      <c r="D32" s="68"/>
      <c r="E32" s="62" t="s">
        <v>65</v>
      </c>
      <c r="F32" s="69"/>
      <c r="G32" s="69"/>
      <c r="H32" s="69"/>
      <c r="I32" s="69"/>
      <c r="J32" s="70"/>
    </row>
    <row r="33" spans="1:10" ht="12.75" customHeight="1" x14ac:dyDescent="0.2">
      <c r="A33" s="349" t="s">
        <v>66</v>
      </c>
      <c r="B33" s="350"/>
      <c r="E33" s="62" t="s">
        <v>67</v>
      </c>
      <c r="F33" s="69"/>
      <c r="G33" s="69"/>
      <c r="H33" s="69"/>
      <c r="I33" s="69"/>
      <c r="J33" s="70"/>
    </row>
    <row r="34" spans="1:10" ht="12.75" customHeight="1" x14ac:dyDescent="0.2">
      <c r="A34" s="349" t="s">
        <v>68</v>
      </c>
      <c r="B34" s="350"/>
      <c r="C34" s="350"/>
      <c r="D34" s="68"/>
      <c r="E34" s="62" t="s">
        <v>69</v>
      </c>
      <c r="F34" s="69"/>
      <c r="G34" s="69"/>
      <c r="H34" s="69"/>
      <c r="I34" s="69"/>
      <c r="J34" s="70"/>
    </row>
    <row r="35" spans="1:10" ht="12.75" customHeight="1" x14ac:dyDescent="0.2">
      <c r="A35" s="349" t="s">
        <v>70</v>
      </c>
      <c r="B35" s="350"/>
      <c r="C35" s="350"/>
      <c r="D35" s="68"/>
      <c r="E35" s="62" t="s">
        <v>71</v>
      </c>
      <c r="F35" s="69"/>
      <c r="G35" s="69"/>
      <c r="H35" s="69"/>
      <c r="I35" s="69"/>
      <c r="J35" s="70"/>
    </row>
    <row r="36" spans="1:10" ht="12.75" customHeight="1" x14ac:dyDescent="0.2">
      <c r="A36" s="349" t="s">
        <v>72</v>
      </c>
      <c r="B36" s="350"/>
      <c r="C36" s="350"/>
      <c r="D36" s="73"/>
      <c r="E36" s="62" t="s">
        <v>73</v>
      </c>
      <c r="F36" s="69"/>
      <c r="G36" s="69"/>
      <c r="H36" s="69"/>
      <c r="I36" s="69"/>
      <c r="J36" s="70"/>
    </row>
    <row r="37" spans="1:10" ht="12.75" customHeight="1" x14ac:dyDescent="0.2">
      <c r="A37" s="349" t="s">
        <v>74</v>
      </c>
      <c r="B37" s="350"/>
      <c r="C37" s="350"/>
      <c r="D37" s="73"/>
      <c r="E37" s="62" t="s">
        <v>75</v>
      </c>
      <c r="F37" s="69"/>
      <c r="G37" s="69"/>
      <c r="H37" s="69"/>
      <c r="I37" s="69"/>
      <c r="J37" s="70"/>
    </row>
    <row r="38" spans="1:10" ht="12.75" customHeight="1" x14ac:dyDescent="0.2">
      <c r="A38" s="349" t="s">
        <v>76</v>
      </c>
      <c r="B38" s="350"/>
      <c r="C38" s="350"/>
      <c r="D38" s="73"/>
      <c r="E38" s="62" t="s">
        <v>77</v>
      </c>
      <c r="F38" s="69"/>
      <c r="G38" s="69"/>
      <c r="H38" s="69"/>
      <c r="I38" s="69"/>
      <c r="J38" s="70"/>
    </row>
    <row r="39" spans="1:10" ht="12.75" customHeight="1" x14ac:dyDescent="0.2">
      <c r="A39" s="74"/>
      <c r="B39" s="350"/>
      <c r="C39" s="350"/>
      <c r="D39" s="73"/>
      <c r="E39" s="62" t="s">
        <v>78</v>
      </c>
      <c r="F39" s="69"/>
      <c r="G39" s="69"/>
      <c r="H39" s="69"/>
      <c r="I39" s="69"/>
      <c r="J39" s="70"/>
    </row>
    <row r="40" spans="1:10" ht="12.75" customHeight="1" x14ac:dyDescent="0.2">
      <c r="A40" s="72" t="s">
        <v>79</v>
      </c>
      <c r="B40" s="350"/>
      <c r="C40" s="350"/>
      <c r="D40" s="73"/>
      <c r="E40" s="75" t="s">
        <v>80</v>
      </c>
      <c r="F40" s="69"/>
      <c r="G40" s="69"/>
      <c r="H40" s="69"/>
      <c r="I40" s="69"/>
      <c r="J40" s="70"/>
    </row>
    <row r="41" spans="1:10" ht="12.75" customHeight="1" x14ac:dyDescent="0.2">
      <c r="A41" s="349" t="s">
        <v>18</v>
      </c>
      <c r="B41" s="350"/>
      <c r="C41" s="350"/>
      <c r="D41" s="73"/>
      <c r="E41" s="75"/>
      <c r="F41" s="76"/>
      <c r="G41" s="76"/>
      <c r="H41" s="76"/>
      <c r="I41" s="76"/>
      <c r="J41" s="77"/>
    </row>
    <row r="42" spans="1:10" ht="12.75" customHeight="1" x14ac:dyDescent="0.25">
      <c r="A42" s="349" t="s">
        <v>81</v>
      </c>
      <c r="B42" s="350"/>
      <c r="C42" s="350"/>
      <c r="D42" s="73"/>
      <c r="E42" s="72" t="s">
        <v>82</v>
      </c>
      <c r="F42" s="78"/>
      <c r="G42" s="79"/>
      <c r="H42" s="55"/>
      <c r="I42" s="55"/>
      <c r="J42" s="56"/>
    </row>
    <row r="43" spans="1:10" ht="12.75" customHeight="1" x14ac:dyDescent="0.25">
      <c r="A43" s="349" t="s">
        <v>83</v>
      </c>
      <c r="B43" s="350"/>
      <c r="C43" s="350"/>
      <c r="D43" s="73"/>
      <c r="E43" s="80" t="s">
        <v>84</v>
      </c>
      <c r="F43" s="81"/>
      <c r="G43" s="81"/>
      <c r="H43" s="81"/>
      <c r="I43" s="81"/>
      <c r="J43" s="82"/>
    </row>
    <row r="44" spans="1:10" ht="12.75" customHeight="1" x14ac:dyDescent="0.25">
      <c r="A44" s="349" t="s">
        <v>85</v>
      </c>
      <c r="B44" s="350"/>
      <c r="C44" s="350"/>
      <c r="D44" s="73"/>
      <c r="E44" s="80" t="s">
        <v>86</v>
      </c>
      <c r="F44" s="81"/>
      <c r="G44" s="81"/>
      <c r="H44" s="81"/>
      <c r="I44" s="81"/>
      <c r="J44" s="82"/>
    </row>
    <row r="45" spans="1:10" ht="12.75" customHeight="1" x14ac:dyDescent="0.25">
      <c r="A45" s="349" t="s">
        <v>87</v>
      </c>
      <c r="B45" s="350"/>
      <c r="C45" s="350"/>
      <c r="D45" s="73"/>
      <c r="E45" s="80" t="s">
        <v>88</v>
      </c>
      <c r="F45" s="81"/>
      <c r="G45" s="81"/>
      <c r="H45" s="81"/>
      <c r="I45" s="81"/>
      <c r="J45" s="82"/>
    </row>
    <row r="46" spans="1:10" ht="12.75" customHeight="1" x14ac:dyDescent="0.25">
      <c r="A46" s="349" t="s">
        <v>89</v>
      </c>
      <c r="B46" s="350"/>
      <c r="C46" s="350"/>
      <c r="D46" s="73"/>
      <c r="E46" s="80" t="s">
        <v>90</v>
      </c>
      <c r="F46" s="81"/>
      <c r="G46" s="81"/>
      <c r="H46" s="81"/>
      <c r="I46" s="81"/>
      <c r="J46" s="82"/>
    </row>
    <row r="47" spans="1:10" ht="12.75" customHeight="1" x14ac:dyDescent="0.25">
      <c r="A47" s="349" t="s">
        <v>91</v>
      </c>
      <c r="B47" s="350"/>
      <c r="C47" s="350"/>
      <c r="D47" s="73"/>
      <c r="E47" s="80" t="s">
        <v>92</v>
      </c>
      <c r="F47" s="81"/>
      <c r="G47" s="81"/>
      <c r="H47" s="81"/>
      <c r="I47" s="81"/>
      <c r="J47" s="82"/>
    </row>
    <row r="48" spans="1:10" ht="12.75" customHeight="1" x14ac:dyDescent="0.2">
      <c r="A48" s="349" t="s">
        <v>93</v>
      </c>
      <c r="B48" s="350"/>
      <c r="C48" s="350"/>
      <c r="D48" s="73"/>
      <c r="E48" s="75"/>
      <c r="F48" s="78"/>
      <c r="G48" s="79"/>
      <c r="H48" s="55"/>
      <c r="I48" s="55"/>
      <c r="J48" s="56"/>
    </row>
    <row r="49" spans="1:11" ht="12.75" customHeight="1" x14ac:dyDescent="0.2">
      <c r="A49" s="349" t="s">
        <v>94</v>
      </c>
      <c r="B49" s="350"/>
      <c r="C49" s="350"/>
      <c r="D49" s="73"/>
      <c r="E49" s="75"/>
      <c r="F49" s="78"/>
      <c r="G49" s="79"/>
      <c r="H49" s="55"/>
      <c r="I49" s="55"/>
      <c r="J49" s="56"/>
    </row>
    <row r="50" spans="1:11" ht="12.75" customHeight="1" x14ac:dyDescent="0.25">
      <c r="A50" s="83"/>
      <c r="B50" s="84"/>
      <c r="C50" s="84"/>
      <c r="D50" s="17"/>
      <c r="E50" s="85"/>
      <c r="F50" s="86"/>
      <c r="G50" s="20"/>
      <c r="H50" s="21"/>
      <c r="I50" s="21"/>
      <c r="J50" s="22"/>
    </row>
    <row r="51" spans="1:11" ht="12" customHeight="1" x14ac:dyDescent="0.25">
      <c r="A51" s="87"/>
      <c r="B51" s="88"/>
      <c r="C51" s="88"/>
      <c r="D51" s="88"/>
      <c r="E51" s="89"/>
      <c r="F51" s="89"/>
      <c r="G51" s="90"/>
      <c r="H51" s="55"/>
      <c r="I51" s="55"/>
      <c r="J51" s="55"/>
    </row>
    <row r="52" spans="1:11" ht="15" customHeight="1" x14ac:dyDescent="0.25">
      <c r="A52" s="410" t="s">
        <v>95</v>
      </c>
      <c r="B52" s="410"/>
      <c r="C52" s="410"/>
      <c r="D52" s="410"/>
      <c r="E52" s="410"/>
      <c r="F52" s="410"/>
      <c r="G52" s="410"/>
      <c r="H52" s="410"/>
      <c r="I52" s="410"/>
      <c r="J52" s="410"/>
    </row>
    <row r="53" spans="1:11" ht="109.15" customHeight="1" x14ac:dyDescent="0.25">
      <c r="A53" s="411" t="s">
        <v>96</v>
      </c>
      <c r="B53" s="411"/>
      <c r="C53" s="411"/>
      <c r="D53" s="411"/>
      <c r="E53" s="411"/>
      <c r="F53" s="411"/>
      <c r="G53" s="411"/>
      <c r="H53" s="411"/>
      <c r="I53" s="411"/>
      <c r="J53" s="411"/>
    </row>
    <row r="54" spans="1:11" ht="12" customHeight="1" x14ac:dyDescent="0.25">
      <c r="A54" s="412"/>
      <c r="B54" s="412"/>
      <c r="C54" s="412"/>
      <c r="D54" s="412"/>
      <c r="E54" s="412"/>
      <c r="F54" s="412"/>
      <c r="G54" s="412"/>
      <c r="H54" s="412"/>
      <c r="I54" s="412"/>
      <c r="J54" s="412"/>
    </row>
    <row r="55" spans="1:11" ht="15" customHeight="1" x14ac:dyDescent="0.25">
      <c r="A55" s="91" t="s">
        <v>97</v>
      </c>
      <c r="B55" s="88"/>
      <c r="C55" s="88"/>
      <c r="D55" s="88"/>
      <c r="E55" s="89"/>
      <c r="F55" s="89"/>
      <c r="G55" s="90"/>
      <c r="H55" s="55"/>
      <c r="I55" s="55"/>
      <c r="J55" s="55"/>
    </row>
    <row r="56" spans="1:11" ht="12" customHeight="1" x14ac:dyDescent="0.25">
      <c r="A56" s="91"/>
      <c r="B56" s="88"/>
      <c r="C56" s="88"/>
      <c r="D56" s="88"/>
      <c r="E56" s="89"/>
      <c r="F56" s="89"/>
      <c r="G56" s="90"/>
      <c r="H56" s="55"/>
      <c r="I56" s="55"/>
      <c r="J56" s="55"/>
    </row>
    <row r="57" spans="1:11" ht="25.5" x14ac:dyDescent="0.25">
      <c r="A57" s="65"/>
      <c r="B57" s="16" t="s">
        <v>98</v>
      </c>
      <c r="C57" s="88"/>
      <c r="D57" s="351"/>
      <c r="E57" s="351"/>
      <c r="F57" s="351"/>
      <c r="G57" s="65"/>
      <c r="H57" s="92" t="s">
        <v>99</v>
      </c>
      <c r="I57" s="88"/>
      <c r="J57" s="16" t="s">
        <v>100</v>
      </c>
    </row>
    <row r="58" spans="1:11" ht="12" customHeight="1" x14ac:dyDescent="0.25">
      <c r="A58" s="65"/>
      <c r="B58" s="88"/>
      <c r="C58" s="88"/>
      <c r="D58" s="351"/>
      <c r="E58" s="351"/>
      <c r="F58" s="351"/>
      <c r="G58" s="65"/>
      <c r="H58" s="88"/>
      <c r="I58" s="88"/>
      <c r="J58" s="88"/>
    </row>
    <row r="59" spans="1:11" ht="15" customHeight="1" x14ac:dyDescent="0.25">
      <c r="A59" s="93" t="str">
        <f>A11</f>
        <v>FCR 1.00</v>
      </c>
      <c r="B59" s="94"/>
      <c r="C59" s="413" t="str">
        <f>B11</f>
        <v>Chart of Accounts Set-up / Maintenance</v>
      </c>
      <c r="D59" s="414"/>
      <c r="E59" s="414"/>
      <c r="F59" s="415"/>
      <c r="G59" s="51"/>
      <c r="H59" s="95"/>
      <c r="I59" s="96"/>
      <c r="J59" s="97"/>
    </row>
    <row r="60" spans="1:11" ht="6" customHeight="1" x14ac:dyDescent="0.25">
      <c r="A60" s="98"/>
      <c r="B60" s="96"/>
      <c r="C60" s="99"/>
      <c r="D60" s="99"/>
      <c r="E60" s="99"/>
      <c r="F60" s="99"/>
      <c r="G60" s="98"/>
      <c r="H60" s="95"/>
      <c r="I60" s="96"/>
      <c r="J60" s="97"/>
    </row>
    <row r="61" spans="1:11" s="105" customFormat="1" ht="35.65" customHeight="1" x14ac:dyDescent="0.25">
      <c r="A61" s="100" t="s">
        <v>101</v>
      </c>
      <c r="B61" s="101"/>
      <c r="C61" s="407" t="s">
        <v>102</v>
      </c>
      <c r="D61" s="407"/>
      <c r="E61" s="407"/>
      <c r="F61" s="407"/>
      <c r="G61" s="89"/>
      <c r="H61" s="102"/>
      <c r="I61" s="89"/>
      <c r="J61" s="89"/>
      <c r="K61" s="103"/>
    </row>
    <row r="62" spans="1:11" s="110" customFormat="1" ht="35.65" customHeight="1" x14ac:dyDescent="0.25">
      <c r="A62" s="106" t="s">
        <v>103</v>
      </c>
      <c r="B62" s="107" t="s">
        <v>15</v>
      </c>
      <c r="C62" s="416" t="s">
        <v>104</v>
      </c>
      <c r="D62" s="416"/>
      <c r="E62" s="416"/>
      <c r="F62" s="416"/>
      <c r="G62" s="65"/>
      <c r="H62" s="108">
        <v>42186</v>
      </c>
      <c r="I62" s="88"/>
      <c r="J62" s="88" t="s">
        <v>38</v>
      </c>
      <c r="K62" s="109"/>
    </row>
    <row r="63" spans="1:11" ht="12" customHeight="1" x14ac:dyDescent="0.25">
      <c r="A63" s="111"/>
      <c r="B63" s="112"/>
      <c r="C63" s="412"/>
      <c r="D63" s="412"/>
      <c r="E63" s="412"/>
      <c r="F63" s="412"/>
      <c r="G63" s="90"/>
      <c r="H63" s="108"/>
      <c r="I63" s="88"/>
      <c r="J63" s="88"/>
    </row>
    <row r="64" spans="1:11" ht="15" customHeight="1" x14ac:dyDescent="0.25">
      <c r="A64" s="93" t="str">
        <f>A12</f>
        <v>FCR 2.00</v>
      </c>
      <c r="B64" s="113"/>
      <c r="C64" s="413" t="str">
        <f>B12</f>
        <v>Journal Entries</v>
      </c>
      <c r="D64" s="414"/>
      <c r="E64" s="414"/>
      <c r="F64" s="415"/>
      <c r="G64" s="51"/>
      <c r="H64" s="114"/>
      <c r="I64" s="96"/>
      <c r="J64" s="96"/>
    </row>
    <row r="65" spans="1:11" ht="6" customHeight="1" x14ac:dyDescent="0.25">
      <c r="A65" s="115"/>
      <c r="B65" s="107"/>
      <c r="C65" s="417"/>
      <c r="D65" s="417"/>
      <c r="E65" s="417"/>
      <c r="F65" s="417"/>
      <c r="G65" s="65"/>
      <c r="H65" s="108"/>
      <c r="I65" s="88"/>
      <c r="J65" s="88"/>
    </row>
    <row r="66" spans="1:11" s="105" customFormat="1" ht="22.9" customHeight="1" x14ac:dyDescent="0.25">
      <c r="A66" s="111" t="s">
        <v>105</v>
      </c>
      <c r="B66" s="116"/>
      <c r="C66" s="407" t="s">
        <v>106</v>
      </c>
      <c r="D66" s="407"/>
      <c r="E66" s="407"/>
      <c r="F66" s="407"/>
      <c r="G66" s="89"/>
      <c r="H66" s="102"/>
      <c r="I66" s="89"/>
      <c r="J66" s="89"/>
      <c r="K66" s="103"/>
    </row>
    <row r="67" spans="1:11" ht="56.65" customHeight="1" x14ac:dyDescent="0.25">
      <c r="A67" s="111" t="s">
        <v>107</v>
      </c>
      <c r="B67" s="117"/>
      <c r="C67" s="419" t="s">
        <v>108</v>
      </c>
      <c r="D67" s="420"/>
      <c r="E67" s="420"/>
      <c r="F67" s="420"/>
      <c r="G67" s="65"/>
      <c r="H67" s="108"/>
      <c r="I67" s="88"/>
      <c r="J67" s="88"/>
    </row>
    <row r="68" spans="1:11" ht="38.25" customHeight="1" x14ac:dyDescent="0.25">
      <c r="A68" s="111" t="s">
        <v>109</v>
      </c>
      <c r="B68" s="107"/>
      <c r="C68" s="418" t="s">
        <v>110</v>
      </c>
      <c r="D68" s="417"/>
      <c r="E68" s="417"/>
      <c r="F68" s="417"/>
      <c r="G68" s="65"/>
      <c r="H68" s="108"/>
      <c r="I68" s="88"/>
      <c r="J68" s="88"/>
    </row>
    <row r="69" spans="1:11" ht="61.15" customHeight="1" x14ac:dyDescent="0.25">
      <c r="A69" s="111" t="s">
        <v>111</v>
      </c>
      <c r="B69" s="107"/>
      <c r="C69" s="418" t="s">
        <v>112</v>
      </c>
      <c r="D69" s="417"/>
      <c r="E69" s="417"/>
      <c r="F69" s="417"/>
      <c r="G69" s="65"/>
      <c r="H69" s="108"/>
      <c r="I69" s="88"/>
      <c r="J69" s="88"/>
    </row>
    <row r="70" spans="1:11" ht="73.900000000000006" customHeight="1" x14ac:dyDescent="0.25">
      <c r="A70" s="115" t="s">
        <v>113</v>
      </c>
      <c r="B70" s="107" t="s">
        <v>15</v>
      </c>
      <c r="C70" s="416" t="s">
        <v>114</v>
      </c>
      <c r="D70" s="416"/>
      <c r="E70" s="416"/>
      <c r="F70" s="416"/>
      <c r="G70" s="65"/>
      <c r="H70" s="118">
        <v>43525</v>
      </c>
      <c r="I70" s="55"/>
      <c r="J70" s="88" t="s">
        <v>115</v>
      </c>
    </row>
    <row r="71" spans="1:11" s="121" customFormat="1" ht="35.65" customHeight="1" x14ac:dyDescent="0.25">
      <c r="A71" s="111" t="s">
        <v>116</v>
      </c>
      <c r="B71" s="119"/>
      <c r="C71" s="407" t="s">
        <v>117</v>
      </c>
      <c r="D71" s="407"/>
      <c r="E71" s="407"/>
      <c r="F71" s="407"/>
      <c r="G71" s="65"/>
      <c r="H71" s="108"/>
      <c r="I71" s="88"/>
      <c r="J71" s="88"/>
      <c r="K71" s="120"/>
    </row>
    <row r="72" spans="1:11" ht="35.65" customHeight="1" x14ac:dyDescent="0.25">
      <c r="A72" s="111" t="s">
        <v>118</v>
      </c>
      <c r="B72" s="122" t="s">
        <v>19</v>
      </c>
      <c r="C72" s="407" t="s">
        <v>119</v>
      </c>
      <c r="D72" s="407"/>
      <c r="E72" s="407"/>
      <c r="F72" s="407"/>
      <c r="G72" s="90"/>
      <c r="H72" s="123">
        <v>43282</v>
      </c>
      <c r="I72" s="55"/>
      <c r="J72" s="55" t="s">
        <v>35</v>
      </c>
    </row>
    <row r="73" spans="1:11" ht="48.4" customHeight="1" x14ac:dyDescent="0.25">
      <c r="A73" s="111" t="s">
        <v>120</v>
      </c>
      <c r="B73" s="124"/>
      <c r="C73" s="418" t="s">
        <v>121</v>
      </c>
      <c r="D73" s="418"/>
      <c r="E73" s="418"/>
      <c r="F73" s="418"/>
      <c r="G73" s="90"/>
      <c r="H73" s="125"/>
      <c r="I73" s="126"/>
      <c r="J73" s="126"/>
    </row>
    <row r="74" spans="1:11" ht="73.900000000000006" customHeight="1" x14ac:dyDescent="0.25">
      <c r="A74" s="115" t="s">
        <v>122</v>
      </c>
      <c r="B74" s="107" t="s">
        <v>15</v>
      </c>
      <c r="C74" s="416" t="s">
        <v>123</v>
      </c>
      <c r="D74" s="416"/>
      <c r="E74" s="416"/>
      <c r="F74" s="416"/>
      <c r="G74" s="90"/>
      <c r="H74" s="108">
        <v>43525</v>
      </c>
      <c r="I74" s="55"/>
      <c r="J74" s="88" t="s">
        <v>38</v>
      </c>
    </row>
    <row r="75" spans="1:11" ht="12" customHeight="1" x14ac:dyDescent="0.25">
      <c r="A75" s="87"/>
      <c r="B75" s="127"/>
      <c r="C75" s="417"/>
      <c r="D75" s="417"/>
      <c r="E75" s="417"/>
      <c r="F75" s="417"/>
      <c r="G75" s="87"/>
      <c r="H75" s="123"/>
      <c r="I75" s="55"/>
      <c r="J75" s="55"/>
    </row>
    <row r="76" spans="1:11" ht="15" customHeight="1" x14ac:dyDescent="0.25">
      <c r="A76" s="93" t="str">
        <f>A13</f>
        <v>FCR 3.00</v>
      </c>
      <c r="B76" s="113"/>
      <c r="C76" s="413" t="str">
        <f>B13</f>
        <v>Accruals &amp; Prepaids</v>
      </c>
      <c r="D76" s="414"/>
      <c r="E76" s="414"/>
      <c r="F76" s="415"/>
      <c r="G76" s="51"/>
      <c r="H76" s="114"/>
      <c r="I76" s="96"/>
      <c r="J76" s="96"/>
    </row>
    <row r="77" spans="1:11" ht="6" customHeight="1" x14ac:dyDescent="0.25">
      <c r="A77" s="115"/>
      <c r="B77" s="128"/>
      <c r="C77" s="421"/>
      <c r="D77" s="421"/>
      <c r="E77" s="421"/>
      <c r="F77" s="421"/>
      <c r="G77" s="65"/>
      <c r="H77" s="108"/>
      <c r="I77" s="88"/>
      <c r="J77" s="88"/>
    </row>
    <row r="78" spans="1:11" ht="22.9" customHeight="1" x14ac:dyDescent="0.25">
      <c r="A78" s="111" t="s">
        <v>124</v>
      </c>
      <c r="B78" s="107"/>
      <c r="C78" s="418" t="s">
        <v>125</v>
      </c>
      <c r="D78" s="418"/>
      <c r="E78" s="418"/>
      <c r="F78" s="418"/>
      <c r="G78" s="98"/>
      <c r="H78" s="108"/>
      <c r="I78" s="98"/>
      <c r="J78" s="88"/>
    </row>
    <row r="79" spans="1:11" ht="35.65" customHeight="1" x14ac:dyDescent="0.25">
      <c r="A79" s="111" t="s">
        <v>126</v>
      </c>
      <c r="B79" s="107"/>
      <c r="C79" s="407" t="s">
        <v>127</v>
      </c>
      <c r="D79" s="407"/>
      <c r="E79" s="407"/>
      <c r="F79" s="407"/>
      <c r="G79" s="65"/>
      <c r="H79" s="108"/>
      <c r="I79" s="55"/>
      <c r="J79" s="121"/>
    </row>
    <row r="80" spans="1:11" ht="35.65" customHeight="1" x14ac:dyDescent="0.25">
      <c r="A80" s="111" t="s">
        <v>128</v>
      </c>
      <c r="B80" s="107"/>
      <c r="C80" s="407" t="s">
        <v>129</v>
      </c>
      <c r="D80" s="407"/>
      <c r="E80" s="407"/>
      <c r="F80" s="407"/>
      <c r="G80" s="65"/>
      <c r="H80" s="108"/>
      <c r="I80" s="55"/>
      <c r="J80" s="121"/>
    </row>
    <row r="81" spans="1:11" ht="61.15" customHeight="1" x14ac:dyDescent="0.25">
      <c r="A81" s="129" t="s">
        <v>130</v>
      </c>
      <c r="B81" s="130" t="s">
        <v>15</v>
      </c>
      <c r="C81" s="422" t="s">
        <v>131</v>
      </c>
      <c r="D81" s="422"/>
      <c r="E81" s="422"/>
      <c r="F81" s="422"/>
      <c r="G81" s="131"/>
      <c r="H81" s="132">
        <v>43678</v>
      </c>
      <c r="I81" s="133"/>
      <c r="J81" s="133" t="s">
        <v>132</v>
      </c>
    </row>
    <row r="82" spans="1:11" ht="61.15" customHeight="1" x14ac:dyDescent="0.25">
      <c r="A82" s="111" t="s">
        <v>133</v>
      </c>
      <c r="B82" s="119"/>
      <c r="C82" s="418" t="s">
        <v>134</v>
      </c>
      <c r="D82" s="418"/>
      <c r="E82" s="418"/>
      <c r="F82" s="418"/>
      <c r="G82" s="65"/>
      <c r="H82" s="108"/>
      <c r="I82" s="88"/>
      <c r="J82" s="88"/>
    </row>
    <row r="83" spans="1:11" s="135" customFormat="1" ht="35.65" customHeight="1" x14ac:dyDescent="0.25">
      <c r="A83" s="111" t="s">
        <v>135</v>
      </c>
      <c r="B83" s="112"/>
      <c r="C83" s="407" t="s">
        <v>136</v>
      </c>
      <c r="D83" s="407"/>
      <c r="E83" s="407"/>
      <c r="F83" s="407"/>
      <c r="G83" s="65"/>
      <c r="H83" s="118"/>
      <c r="I83" s="88"/>
      <c r="J83" s="88"/>
      <c r="K83" s="134"/>
    </row>
    <row r="84" spans="1:11" s="110" customFormat="1" ht="35.65" customHeight="1" x14ac:dyDescent="0.25">
      <c r="A84" s="111" t="s">
        <v>137</v>
      </c>
      <c r="B84" s="119"/>
      <c r="C84" s="418" t="s">
        <v>138</v>
      </c>
      <c r="D84" s="418"/>
      <c r="E84" s="418"/>
      <c r="F84" s="418"/>
      <c r="G84" s="65"/>
      <c r="H84" s="118"/>
      <c r="I84" s="88"/>
      <c r="J84" s="88"/>
      <c r="K84" s="109"/>
    </row>
    <row r="85" spans="1:11" s="110" customFormat="1" ht="48.4" customHeight="1" x14ac:dyDescent="0.25">
      <c r="A85" s="111" t="s">
        <v>139</v>
      </c>
      <c r="B85" s="119"/>
      <c r="C85" s="418" t="s">
        <v>140</v>
      </c>
      <c r="D85" s="418"/>
      <c r="E85" s="418"/>
      <c r="F85" s="418"/>
      <c r="G85" s="65"/>
      <c r="H85" s="108"/>
      <c r="I85" s="88"/>
      <c r="J85" s="88"/>
      <c r="K85" s="109"/>
    </row>
    <row r="86" spans="1:11" ht="61.15" customHeight="1" x14ac:dyDescent="0.25">
      <c r="A86" s="115" t="s">
        <v>141</v>
      </c>
      <c r="B86" s="119" t="s">
        <v>15</v>
      </c>
      <c r="C86" s="416" t="s">
        <v>142</v>
      </c>
      <c r="D86" s="416"/>
      <c r="E86" s="416"/>
      <c r="F86" s="416"/>
      <c r="G86" s="65"/>
      <c r="H86" s="118">
        <v>42186</v>
      </c>
      <c r="I86" s="88"/>
      <c r="J86" s="88" t="s">
        <v>52</v>
      </c>
    </row>
    <row r="87" spans="1:11" s="138" customFormat="1" ht="86.65" customHeight="1" x14ac:dyDescent="0.25">
      <c r="A87" s="136" t="s">
        <v>143</v>
      </c>
      <c r="B87" s="137" t="s">
        <v>15</v>
      </c>
      <c r="C87" s="423" t="s">
        <v>144</v>
      </c>
      <c r="D87" s="423"/>
      <c r="E87" s="423"/>
      <c r="F87" s="423"/>
      <c r="H87" s="139">
        <v>42186</v>
      </c>
      <c r="I87" s="140"/>
      <c r="J87" s="140" t="s">
        <v>46</v>
      </c>
      <c r="K87" s="141"/>
    </row>
    <row r="88" spans="1:11" ht="48.4" customHeight="1" x14ac:dyDescent="0.25">
      <c r="A88" s="111" t="s">
        <v>145</v>
      </c>
      <c r="B88" s="119"/>
      <c r="C88" s="407" t="s">
        <v>146</v>
      </c>
      <c r="D88" s="407"/>
      <c r="E88" s="407"/>
      <c r="F88" s="407"/>
      <c r="G88" s="65"/>
      <c r="H88" s="108"/>
      <c r="I88" s="88"/>
      <c r="J88" s="121"/>
    </row>
    <row r="89" spans="1:11" ht="35.65" customHeight="1" x14ac:dyDescent="0.25">
      <c r="A89" s="111" t="s">
        <v>147</v>
      </c>
      <c r="B89" s="119"/>
      <c r="C89" s="424" t="s">
        <v>148</v>
      </c>
      <c r="D89" s="424"/>
      <c r="E89" s="424"/>
      <c r="F89" s="424"/>
      <c r="G89" s="65"/>
      <c r="H89" s="108"/>
      <c r="I89" s="88"/>
      <c r="J89" s="121"/>
    </row>
    <row r="90" spans="1:11" s="135" customFormat="1" ht="48.4" customHeight="1" x14ac:dyDescent="0.25">
      <c r="A90" s="115" t="s">
        <v>149</v>
      </c>
      <c r="B90" s="112" t="s">
        <v>15</v>
      </c>
      <c r="C90" s="416" t="s">
        <v>150</v>
      </c>
      <c r="D90" s="416"/>
      <c r="E90" s="416"/>
      <c r="F90" s="416"/>
      <c r="G90" s="65"/>
      <c r="H90" s="118">
        <v>42186</v>
      </c>
      <c r="I90" s="88"/>
      <c r="J90" s="88" t="s">
        <v>38</v>
      </c>
      <c r="K90" s="134"/>
    </row>
    <row r="91" spans="1:11" ht="12" customHeight="1" x14ac:dyDescent="0.25">
      <c r="A91" s="115"/>
      <c r="B91" s="107"/>
      <c r="C91" s="407"/>
      <c r="D91" s="407"/>
      <c r="E91" s="407"/>
      <c r="F91" s="407"/>
      <c r="G91" s="65"/>
      <c r="H91" s="108"/>
      <c r="I91" s="142"/>
      <c r="J91" s="88"/>
    </row>
    <row r="92" spans="1:11" ht="15" customHeight="1" x14ac:dyDescent="0.25">
      <c r="A92" s="143" t="str">
        <f>A14</f>
        <v>FCR 4.00</v>
      </c>
      <c r="B92" s="144"/>
      <c r="C92" s="425" t="str">
        <f>B14</f>
        <v>Account Reconciliations</v>
      </c>
      <c r="D92" s="426"/>
      <c r="E92" s="426"/>
      <c r="F92" s="427"/>
      <c r="G92" s="65"/>
      <c r="H92" s="123"/>
      <c r="I92" s="55"/>
      <c r="J92" s="55"/>
    </row>
    <row r="93" spans="1:11" ht="12" customHeight="1" x14ac:dyDescent="0.25">
      <c r="A93" s="351"/>
      <c r="B93" s="145"/>
      <c r="C93" s="347"/>
      <c r="D93" s="347"/>
      <c r="E93" s="347"/>
      <c r="F93" s="347"/>
      <c r="G93" s="351"/>
      <c r="H93" s="123"/>
      <c r="I93" s="55"/>
      <c r="J93" s="55"/>
    </row>
    <row r="94" spans="1:11" ht="22.9" customHeight="1" x14ac:dyDescent="0.25">
      <c r="A94" s="89" t="s">
        <v>151</v>
      </c>
      <c r="B94" s="146"/>
      <c r="C94" s="407" t="s">
        <v>152</v>
      </c>
      <c r="D94" s="407"/>
      <c r="E94" s="407"/>
      <c r="F94" s="407"/>
      <c r="G94" s="89"/>
      <c r="H94" s="102"/>
      <c r="I94" s="89"/>
      <c r="J94" s="89"/>
    </row>
    <row r="95" spans="1:11" ht="61.15" customHeight="1" x14ac:dyDescent="0.25">
      <c r="A95" s="351" t="s">
        <v>153</v>
      </c>
      <c r="B95" s="107" t="s">
        <v>15</v>
      </c>
      <c r="C95" s="417" t="s">
        <v>154</v>
      </c>
      <c r="D95" s="417"/>
      <c r="E95" s="417"/>
      <c r="F95" s="417"/>
      <c r="G95" s="89"/>
      <c r="H95" s="108">
        <v>42186</v>
      </c>
      <c r="I95" s="55"/>
      <c r="J95" s="88" t="s">
        <v>155</v>
      </c>
    </row>
    <row r="96" spans="1:11" ht="35.65" customHeight="1" x14ac:dyDescent="0.25">
      <c r="A96" s="89" t="s">
        <v>156</v>
      </c>
      <c r="B96" s="107"/>
      <c r="C96" s="407" t="s">
        <v>157</v>
      </c>
      <c r="D96" s="407"/>
      <c r="E96" s="407"/>
      <c r="F96" s="407"/>
      <c r="G96" s="89"/>
      <c r="H96" s="108"/>
      <c r="I96" s="55"/>
      <c r="J96" s="88"/>
    </row>
    <row r="97" spans="1:11" ht="48.4" customHeight="1" x14ac:dyDescent="0.25">
      <c r="A97" s="351" t="s">
        <v>158</v>
      </c>
      <c r="B97" s="107" t="s">
        <v>15</v>
      </c>
      <c r="C97" s="417" t="s">
        <v>159</v>
      </c>
      <c r="D97" s="417"/>
      <c r="E97" s="417"/>
      <c r="F97" s="417"/>
      <c r="G97" s="89"/>
      <c r="H97" s="108">
        <v>43525</v>
      </c>
      <c r="I97" s="88"/>
      <c r="J97" s="88" t="s">
        <v>38</v>
      </c>
    </row>
    <row r="98" spans="1:11" ht="12" customHeight="1" x14ac:dyDescent="0.25">
      <c r="A98" s="351"/>
      <c r="B98" s="107"/>
      <c r="C98" s="347"/>
      <c r="D98" s="347"/>
      <c r="E98" s="347"/>
      <c r="F98" s="347"/>
      <c r="G98" s="89"/>
      <c r="H98" s="108"/>
      <c r="I98" s="55"/>
      <c r="J98" s="88"/>
    </row>
    <row r="99" spans="1:11" ht="15" customHeight="1" x14ac:dyDescent="0.25">
      <c r="A99" s="143" t="str">
        <f>A15</f>
        <v>FCR 5.00</v>
      </c>
      <c r="B99" s="147"/>
      <c r="C99" s="425" t="str">
        <f>B15</f>
        <v>Period-End Close</v>
      </c>
      <c r="D99" s="426"/>
      <c r="E99" s="426"/>
      <c r="F99" s="427"/>
      <c r="G99" s="65"/>
      <c r="H99" s="123"/>
      <c r="I99" s="55"/>
      <c r="J99" s="55"/>
    </row>
    <row r="100" spans="1:11" ht="6" customHeight="1" x14ac:dyDescent="0.25">
      <c r="A100" s="89"/>
      <c r="B100" s="148"/>
      <c r="C100" s="407"/>
      <c r="D100" s="407"/>
      <c r="E100" s="407"/>
      <c r="F100" s="407"/>
      <c r="G100" s="89"/>
      <c r="H100" s="102"/>
      <c r="I100" s="89"/>
      <c r="J100" s="89"/>
    </row>
    <row r="101" spans="1:11" ht="35.65" customHeight="1" x14ac:dyDescent="0.25">
      <c r="A101" s="111" t="s">
        <v>160</v>
      </c>
      <c r="B101" s="107"/>
      <c r="C101" s="418" t="s">
        <v>161</v>
      </c>
      <c r="D101" s="418"/>
      <c r="E101" s="418"/>
      <c r="F101" s="418"/>
      <c r="G101" s="65"/>
      <c r="H101" s="108"/>
      <c r="I101" s="88"/>
      <c r="J101" s="88"/>
    </row>
    <row r="102" spans="1:11" ht="35.65" customHeight="1" x14ac:dyDescent="0.25">
      <c r="A102" s="111" t="s">
        <v>162</v>
      </c>
      <c r="B102" s="107"/>
      <c r="C102" s="418" t="s">
        <v>163</v>
      </c>
      <c r="D102" s="418"/>
      <c r="E102" s="418"/>
      <c r="F102" s="418"/>
      <c r="G102" s="65"/>
      <c r="H102" s="108"/>
      <c r="I102" s="88"/>
      <c r="J102" s="88"/>
      <c r="K102" s="103"/>
    </row>
    <row r="103" spans="1:11" ht="35.65" customHeight="1" x14ac:dyDescent="0.25">
      <c r="A103" s="111" t="s">
        <v>164</v>
      </c>
      <c r="B103" s="124" t="s">
        <v>15</v>
      </c>
      <c r="C103" s="418" t="s">
        <v>165</v>
      </c>
      <c r="D103" s="418"/>
      <c r="E103" s="418"/>
      <c r="F103" s="418"/>
      <c r="G103" s="90"/>
      <c r="H103" s="125">
        <v>42186</v>
      </c>
      <c r="I103" s="126"/>
      <c r="J103" s="126" t="s">
        <v>38</v>
      </c>
    </row>
    <row r="104" spans="1:11" ht="61.15" customHeight="1" x14ac:dyDescent="0.25">
      <c r="A104" s="111" t="s">
        <v>166</v>
      </c>
      <c r="B104" s="107"/>
      <c r="C104" s="407" t="s">
        <v>167</v>
      </c>
      <c r="D104" s="407"/>
      <c r="E104" s="407"/>
      <c r="F104" s="407"/>
      <c r="G104" s="65"/>
      <c r="H104" s="108"/>
      <c r="I104" s="88"/>
      <c r="J104" s="88"/>
    </row>
    <row r="105" spans="1:11" s="135" customFormat="1" ht="48.4" customHeight="1" x14ac:dyDescent="0.25">
      <c r="A105" s="115" t="s">
        <v>168</v>
      </c>
      <c r="B105" s="107" t="s">
        <v>15</v>
      </c>
      <c r="C105" s="416" t="s">
        <v>169</v>
      </c>
      <c r="D105" s="416"/>
      <c r="E105" s="416"/>
      <c r="F105" s="416"/>
      <c r="G105" s="65"/>
      <c r="H105" s="108">
        <v>42186</v>
      </c>
      <c r="I105" s="88"/>
      <c r="J105" s="88" t="s">
        <v>38</v>
      </c>
      <c r="K105" s="134"/>
    </row>
    <row r="106" spans="1:11" ht="35.65" customHeight="1" x14ac:dyDescent="0.25">
      <c r="A106" s="111" t="s">
        <v>170</v>
      </c>
      <c r="B106" s="149"/>
      <c r="C106" s="418" t="s">
        <v>171</v>
      </c>
      <c r="D106" s="418"/>
      <c r="E106" s="418"/>
      <c r="F106" s="418"/>
      <c r="G106" s="351"/>
      <c r="H106" s="150"/>
      <c r="I106" s="351"/>
      <c r="J106" s="351"/>
    </row>
    <row r="107" spans="1:11" s="105" customFormat="1" ht="48.4" customHeight="1" x14ac:dyDescent="0.25">
      <c r="A107" s="111" t="s">
        <v>172</v>
      </c>
      <c r="B107" s="146"/>
      <c r="C107" s="407" t="s">
        <v>173</v>
      </c>
      <c r="D107" s="407"/>
      <c r="E107" s="407"/>
      <c r="F107" s="407"/>
      <c r="G107" s="89"/>
      <c r="H107" s="102"/>
      <c r="I107" s="89"/>
      <c r="J107" s="89"/>
      <c r="K107" s="109"/>
    </row>
    <row r="108" spans="1:11" ht="61.15" customHeight="1" x14ac:dyDescent="0.25">
      <c r="A108" s="111" t="s">
        <v>174</v>
      </c>
      <c r="B108" s="101" t="s">
        <v>15</v>
      </c>
      <c r="C108" s="407" t="s">
        <v>175</v>
      </c>
      <c r="D108" s="407"/>
      <c r="E108" s="407"/>
      <c r="F108" s="407"/>
      <c r="G108" s="89"/>
      <c r="H108" s="123" t="s">
        <v>176</v>
      </c>
      <c r="I108" s="55"/>
      <c r="J108" s="55" t="s">
        <v>38</v>
      </c>
    </row>
    <row r="109" spans="1:11" ht="48.4" customHeight="1" x14ac:dyDescent="0.25">
      <c r="A109" s="111" t="s">
        <v>177</v>
      </c>
      <c r="B109" s="107"/>
      <c r="C109" s="407" t="s">
        <v>178</v>
      </c>
      <c r="D109" s="407"/>
      <c r="E109" s="407"/>
      <c r="F109" s="407"/>
      <c r="G109" s="351"/>
      <c r="H109" s="108"/>
      <c r="I109" s="55"/>
      <c r="J109" s="88"/>
    </row>
    <row r="110" spans="1:11" s="121" customFormat="1" ht="73.900000000000006" customHeight="1" x14ac:dyDescent="0.25">
      <c r="A110" s="115" t="s">
        <v>179</v>
      </c>
      <c r="B110" s="107" t="s">
        <v>15</v>
      </c>
      <c r="C110" s="416" t="s">
        <v>180</v>
      </c>
      <c r="D110" s="416"/>
      <c r="E110" s="416"/>
      <c r="F110" s="416"/>
      <c r="G110" s="351"/>
      <c r="H110" s="108" t="s">
        <v>181</v>
      </c>
      <c r="I110" s="55"/>
      <c r="J110" s="88" t="s">
        <v>182</v>
      </c>
      <c r="K110" s="151"/>
    </row>
    <row r="111" spans="1:11" s="153" customFormat="1" ht="86.65" customHeight="1" x14ac:dyDescent="0.25">
      <c r="A111" s="115" t="s">
        <v>183</v>
      </c>
      <c r="B111" s="107" t="s">
        <v>15</v>
      </c>
      <c r="C111" s="416" t="s">
        <v>184</v>
      </c>
      <c r="D111" s="416"/>
      <c r="E111" s="416"/>
      <c r="F111" s="416"/>
      <c r="G111" s="351"/>
      <c r="H111" s="108">
        <v>42186</v>
      </c>
      <c r="I111" s="55"/>
      <c r="J111" s="88" t="s">
        <v>38</v>
      </c>
      <c r="K111" s="152"/>
    </row>
    <row r="112" spans="1:11" ht="35.65" customHeight="1" x14ac:dyDescent="0.25">
      <c r="A112" s="111" t="s">
        <v>185</v>
      </c>
      <c r="B112" s="101" t="s">
        <v>15</v>
      </c>
      <c r="C112" s="407" t="s">
        <v>186</v>
      </c>
      <c r="D112" s="407"/>
      <c r="E112" s="407"/>
      <c r="F112" s="407"/>
      <c r="G112" s="89"/>
      <c r="H112" s="123">
        <v>42186</v>
      </c>
      <c r="I112" s="89"/>
      <c r="J112" s="55" t="s">
        <v>187</v>
      </c>
    </row>
    <row r="113" spans="1:11" ht="48.4" customHeight="1" x14ac:dyDescent="0.25">
      <c r="A113" s="111" t="s">
        <v>188</v>
      </c>
      <c r="B113" s="107"/>
      <c r="C113" s="407" t="s">
        <v>189</v>
      </c>
      <c r="D113" s="407"/>
      <c r="E113" s="407"/>
      <c r="F113" s="407"/>
      <c r="G113" s="351"/>
      <c r="H113" s="108"/>
      <c r="I113" s="351"/>
      <c r="J113" s="88"/>
    </row>
    <row r="114" spans="1:11" s="159" customFormat="1" ht="73.900000000000006" customHeight="1" x14ac:dyDescent="0.25">
      <c r="A114" s="154" t="s">
        <v>190</v>
      </c>
      <c r="B114" s="155" t="s">
        <v>15</v>
      </c>
      <c r="C114" s="423" t="s">
        <v>191</v>
      </c>
      <c r="D114" s="423"/>
      <c r="E114" s="423"/>
      <c r="F114" s="423"/>
      <c r="G114" s="156"/>
      <c r="H114" s="157">
        <v>43252</v>
      </c>
      <c r="I114" s="158"/>
      <c r="J114" s="158" t="s">
        <v>60</v>
      </c>
    </row>
    <row r="115" spans="1:11" ht="12" customHeight="1" x14ac:dyDescent="0.25">
      <c r="B115" s="160"/>
      <c r="H115" s="161"/>
    </row>
    <row r="116" spans="1:11" ht="15" customHeight="1" x14ac:dyDescent="0.25">
      <c r="A116" s="143" t="str">
        <f>A16</f>
        <v>FCR 6.00</v>
      </c>
      <c r="B116" s="147"/>
      <c r="C116" s="425" t="str">
        <f>B16</f>
        <v>External Reporting</v>
      </c>
      <c r="D116" s="426"/>
      <c r="E116" s="426"/>
      <c r="F116" s="427"/>
      <c r="G116" s="65"/>
      <c r="H116" s="123"/>
      <c r="I116" s="55"/>
      <c r="J116" s="55"/>
    </row>
    <row r="117" spans="1:11" ht="6" customHeight="1" x14ac:dyDescent="0.25">
      <c r="B117" s="160"/>
      <c r="H117" s="161"/>
    </row>
    <row r="118" spans="1:11" ht="15" customHeight="1" x14ac:dyDescent="0.25">
      <c r="B118" s="160"/>
      <c r="C118" s="428" t="s">
        <v>192</v>
      </c>
      <c r="D118" s="428"/>
      <c r="E118" s="428"/>
      <c r="F118" s="428"/>
      <c r="H118" s="161"/>
    </row>
    <row r="119" spans="1:11" ht="51" customHeight="1" x14ac:dyDescent="0.25">
      <c r="A119" s="111" t="s">
        <v>193</v>
      </c>
      <c r="B119" s="162"/>
      <c r="C119" s="407" t="s">
        <v>194</v>
      </c>
      <c r="D119" s="407"/>
      <c r="E119" s="407"/>
      <c r="F119" s="407"/>
      <c r="G119" s="121"/>
      <c r="H119" s="163"/>
      <c r="I119" s="121"/>
      <c r="J119" s="121"/>
    </row>
    <row r="120" spans="1:11" ht="35.65" customHeight="1" x14ac:dyDescent="0.25">
      <c r="A120" s="111" t="s">
        <v>195</v>
      </c>
      <c r="B120" s="107"/>
      <c r="C120" s="407" t="s">
        <v>196</v>
      </c>
      <c r="D120" s="407"/>
      <c r="E120" s="407"/>
      <c r="F120" s="407"/>
      <c r="G120" s="351"/>
      <c r="H120" s="108"/>
      <c r="I120" s="55"/>
      <c r="J120" s="88"/>
    </row>
    <row r="121" spans="1:11" ht="35.65" customHeight="1" x14ac:dyDescent="0.25">
      <c r="A121" s="111" t="s">
        <v>197</v>
      </c>
      <c r="B121" s="101" t="s">
        <v>15</v>
      </c>
      <c r="C121" s="407" t="s">
        <v>198</v>
      </c>
      <c r="D121" s="407"/>
      <c r="E121" s="407"/>
      <c r="F121" s="407"/>
      <c r="G121" s="351"/>
      <c r="H121" s="123">
        <v>42186</v>
      </c>
      <c r="I121" s="55"/>
      <c r="J121" s="55" t="s">
        <v>199</v>
      </c>
    </row>
    <row r="122" spans="1:11" s="167" customFormat="1" ht="61.15" customHeight="1" x14ac:dyDescent="0.25">
      <c r="A122" s="115" t="s">
        <v>200</v>
      </c>
      <c r="B122" s="107" t="s">
        <v>15</v>
      </c>
      <c r="C122" s="416" t="s">
        <v>201</v>
      </c>
      <c r="D122" s="416"/>
      <c r="E122" s="416"/>
      <c r="F122" s="416"/>
      <c r="G122" s="121"/>
      <c r="H122" s="164" t="s">
        <v>181</v>
      </c>
      <c r="I122" s="142"/>
      <c r="J122" s="165" t="s">
        <v>49</v>
      </c>
      <c r="K122" s="166"/>
    </row>
    <row r="123" spans="1:11" s="105" customFormat="1" ht="48.4" customHeight="1" x14ac:dyDescent="0.25">
      <c r="A123" s="111" t="s">
        <v>202</v>
      </c>
      <c r="B123" s="146"/>
      <c r="C123" s="407" t="s">
        <v>203</v>
      </c>
      <c r="D123" s="407"/>
      <c r="E123" s="407"/>
      <c r="F123" s="407"/>
      <c r="G123" s="89"/>
      <c r="H123" s="102"/>
      <c r="I123" s="89"/>
      <c r="J123" s="89"/>
      <c r="K123" s="109"/>
    </row>
    <row r="124" spans="1:11" ht="35.65" customHeight="1" x14ac:dyDescent="0.25">
      <c r="A124" s="111" t="s">
        <v>204</v>
      </c>
      <c r="B124" s="107"/>
      <c r="C124" s="407" t="s">
        <v>205</v>
      </c>
      <c r="D124" s="407"/>
      <c r="E124" s="407"/>
      <c r="F124" s="407"/>
      <c r="G124" s="351"/>
      <c r="H124" s="108"/>
      <c r="I124" s="55"/>
      <c r="J124" s="88"/>
    </row>
    <row r="125" spans="1:11" s="110" customFormat="1" ht="35.65" customHeight="1" x14ac:dyDescent="0.25">
      <c r="A125" s="115" t="s">
        <v>206</v>
      </c>
      <c r="B125" s="107" t="s">
        <v>15</v>
      </c>
      <c r="C125" s="416" t="s">
        <v>207</v>
      </c>
      <c r="D125" s="416"/>
      <c r="E125" s="416"/>
      <c r="F125" s="416"/>
      <c r="G125" s="351"/>
      <c r="H125" s="108">
        <v>42186</v>
      </c>
      <c r="I125" s="168"/>
      <c r="J125" s="169" t="s">
        <v>38</v>
      </c>
    </row>
    <row r="126" spans="1:11" ht="15" customHeight="1" x14ac:dyDescent="0.25">
      <c r="A126" s="111"/>
      <c r="B126" s="162"/>
      <c r="C126" s="429" t="s">
        <v>208</v>
      </c>
      <c r="D126" s="429"/>
      <c r="E126" s="429"/>
      <c r="F126" s="429"/>
      <c r="G126" s="121"/>
      <c r="H126" s="163"/>
      <c r="I126" s="121"/>
      <c r="J126" s="121"/>
      <c r="K126" s="3"/>
    </row>
    <row r="127" spans="1:11" ht="35.65" customHeight="1" x14ac:dyDescent="0.25">
      <c r="A127" s="111" t="s">
        <v>209</v>
      </c>
      <c r="B127" s="162"/>
      <c r="C127" s="407" t="s">
        <v>210</v>
      </c>
      <c r="D127" s="407"/>
      <c r="E127" s="407"/>
      <c r="F127" s="407"/>
      <c r="G127" s="121"/>
      <c r="H127" s="163"/>
      <c r="I127" s="121"/>
      <c r="J127" s="121"/>
      <c r="K127" s="3"/>
    </row>
    <row r="128" spans="1:11" ht="61.15" customHeight="1" x14ac:dyDescent="0.25">
      <c r="A128" s="115" t="s">
        <v>211</v>
      </c>
      <c r="B128" s="107" t="s">
        <v>15</v>
      </c>
      <c r="C128" s="416" t="s">
        <v>212</v>
      </c>
      <c r="D128" s="416"/>
      <c r="E128" s="416"/>
      <c r="F128" s="416"/>
      <c r="G128" s="121"/>
      <c r="H128" s="108">
        <v>42186</v>
      </c>
      <c r="I128" s="168"/>
      <c r="J128" s="169" t="s">
        <v>213</v>
      </c>
      <c r="K128" s="3"/>
    </row>
    <row r="129" spans="1:11" ht="35.65" customHeight="1" x14ac:dyDescent="0.25">
      <c r="A129" s="111" t="s">
        <v>214</v>
      </c>
      <c r="B129" s="162"/>
      <c r="C129" s="407" t="s">
        <v>215</v>
      </c>
      <c r="D129" s="407"/>
      <c r="E129" s="407"/>
      <c r="F129" s="407"/>
      <c r="G129" s="121"/>
      <c r="H129" s="163"/>
      <c r="I129" s="121"/>
      <c r="J129" s="121"/>
      <c r="K129" s="104"/>
    </row>
    <row r="130" spans="1:11" ht="48.4" customHeight="1" x14ac:dyDescent="0.25">
      <c r="A130" s="115" t="s">
        <v>216</v>
      </c>
      <c r="B130" s="107" t="s">
        <v>15</v>
      </c>
      <c r="C130" s="416" t="s">
        <v>217</v>
      </c>
      <c r="D130" s="416"/>
      <c r="E130" s="416"/>
      <c r="F130" s="416"/>
      <c r="G130" s="121"/>
      <c r="H130" s="108">
        <v>42186</v>
      </c>
      <c r="I130" s="168"/>
      <c r="J130" s="169" t="s">
        <v>49</v>
      </c>
      <c r="K130" s="104"/>
    </row>
    <row r="131" spans="1:11" s="4" customFormat="1" ht="15" customHeight="1" x14ac:dyDescent="0.3">
      <c r="A131" s="170"/>
      <c r="B131" s="171"/>
      <c r="C131" s="430" t="s">
        <v>218</v>
      </c>
      <c r="D131" s="430"/>
      <c r="E131" s="430"/>
      <c r="F131" s="430"/>
      <c r="H131" s="172"/>
      <c r="K131" s="2"/>
    </row>
    <row r="132" spans="1:11" ht="35.65" customHeight="1" x14ac:dyDescent="0.25">
      <c r="A132" s="111" t="s">
        <v>219</v>
      </c>
      <c r="B132" s="160"/>
      <c r="C132" s="407" t="s">
        <v>220</v>
      </c>
      <c r="D132" s="407"/>
      <c r="E132" s="407"/>
      <c r="F132" s="407"/>
      <c r="H132" s="161"/>
      <c r="K132" s="3"/>
    </row>
    <row r="133" spans="1:11" ht="35.65" customHeight="1" x14ac:dyDescent="0.25">
      <c r="A133" s="111" t="s">
        <v>221</v>
      </c>
      <c r="B133" s="160"/>
      <c r="C133" s="407" t="s">
        <v>222</v>
      </c>
      <c r="D133" s="407"/>
      <c r="E133" s="407"/>
      <c r="F133" s="407"/>
      <c r="H133" s="161"/>
      <c r="K133" s="3"/>
    </row>
    <row r="134" spans="1:11" s="138" customFormat="1" ht="35.65" customHeight="1" x14ac:dyDescent="0.25">
      <c r="A134" s="154" t="s">
        <v>223</v>
      </c>
      <c r="B134" s="173" t="s">
        <v>15</v>
      </c>
      <c r="C134" s="431" t="s">
        <v>799</v>
      </c>
      <c r="D134" s="431"/>
      <c r="E134" s="431"/>
      <c r="F134" s="431"/>
      <c r="G134" s="159"/>
      <c r="H134" s="157">
        <v>42186</v>
      </c>
      <c r="I134" s="158"/>
      <c r="J134" s="158" t="s">
        <v>224</v>
      </c>
    </row>
    <row r="135" spans="1:11" ht="48.4" customHeight="1" x14ac:dyDescent="0.25">
      <c r="A135" s="111" t="s">
        <v>225</v>
      </c>
      <c r="B135" s="160"/>
      <c r="C135" s="407" t="s">
        <v>226</v>
      </c>
      <c r="D135" s="407"/>
      <c r="E135" s="407"/>
      <c r="F135" s="407"/>
      <c r="H135" s="161"/>
      <c r="K135" s="3"/>
    </row>
    <row r="136" spans="1:11" s="138" customFormat="1" ht="48.4" customHeight="1" x14ac:dyDescent="0.25">
      <c r="A136" s="136" t="s">
        <v>227</v>
      </c>
      <c r="B136" s="137" t="s">
        <v>15</v>
      </c>
      <c r="C136" s="423" t="s">
        <v>228</v>
      </c>
      <c r="D136" s="423"/>
      <c r="E136" s="423"/>
      <c r="F136" s="423"/>
      <c r="G136" s="174"/>
      <c r="H136" s="139">
        <v>42186</v>
      </c>
      <c r="I136" s="140"/>
      <c r="J136" s="140" t="s">
        <v>229</v>
      </c>
    </row>
    <row r="137" spans="1:11" ht="12" customHeight="1" x14ac:dyDescent="0.25">
      <c r="B137" s="160"/>
      <c r="C137" s="348"/>
      <c r="D137" s="348"/>
      <c r="E137" s="348"/>
      <c r="F137" s="348"/>
      <c r="H137" s="161"/>
      <c r="K137" s="3"/>
    </row>
    <row r="138" spans="1:11" ht="15" customHeight="1" x14ac:dyDescent="0.25">
      <c r="A138" s="143" t="str">
        <f>A17</f>
        <v>FCR 7.00</v>
      </c>
      <c r="B138" s="147"/>
      <c r="C138" s="425" t="str">
        <f>B17</f>
        <v>System Access</v>
      </c>
      <c r="D138" s="426"/>
      <c r="E138" s="426"/>
      <c r="F138" s="427"/>
      <c r="G138" s="65"/>
      <c r="H138" s="123"/>
      <c r="I138" s="55"/>
      <c r="K138" s="3"/>
    </row>
    <row r="139" spans="1:11" ht="6" customHeight="1" x14ac:dyDescent="0.25">
      <c r="B139" s="160"/>
      <c r="H139" s="161"/>
      <c r="K139" s="3"/>
    </row>
    <row r="140" spans="1:11" ht="48.4" customHeight="1" x14ac:dyDescent="0.25">
      <c r="A140" s="5" t="s">
        <v>230</v>
      </c>
      <c r="B140" s="175"/>
      <c r="C140" s="407" t="s">
        <v>231</v>
      </c>
      <c r="D140" s="407"/>
      <c r="E140" s="407"/>
      <c r="F140" s="407"/>
      <c r="H140" s="161"/>
      <c r="K140" s="3"/>
    </row>
  </sheetData>
  <sheetProtection algorithmName="SHA-512" hashValue="x2JXSHZcTfDtRRpdSK8rW1GZcjmwN0CUBUhC/i8aFoK+WZgKM1PTLH1oFuLEbkTkb9d1n0xDZlzCef1sQosc3g==" saltValue="qWg99DviWAjpMlNB3R09Jw==" spinCount="100000" sheet="1" objects="1" scenarios="1"/>
  <autoFilter ref="A59:J140">
    <filterColumn colId="2" showButton="0"/>
    <filterColumn colId="3" showButton="0"/>
    <filterColumn colId="4" showButton="0"/>
  </autoFilter>
  <mergeCells count="86">
    <mergeCell ref="C138:F138"/>
    <mergeCell ref="C140:F140"/>
    <mergeCell ref="C131:F131"/>
    <mergeCell ref="C132:F132"/>
    <mergeCell ref="C133:F133"/>
    <mergeCell ref="C134:F134"/>
    <mergeCell ref="C135:F135"/>
    <mergeCell ref="C136:F136"/>
    <mergeCell ref="C130:F130"/>
    <mergeCell ref="C119:F119"/>
    <mergeCell ref="C120:F120"/>
    <mergeCell ref="C121:F121"/>
    <mergeCell ref="C122:F122"/>
    <mergeCell ref="C123:F123"/>
    <mergeCell ref="C124:F124"/>
    <mergeCell ref="C125:F125"/>
    <mergeCell ref="C126:F126"/>
    <mergeCell ref="C127:F127"/>
    <mergeCell ref="C128:F128"/>
    <mergeCell ref="C129:F129"/>
    <mergeCell ref="C118:F118"/>
    <mergeCell ref="C105:F105"/>
    <mergeCell ref="C106:F106"/>
    <mergeCell ref="C107:F107"/>
    <mergeCell ref="C108:F108"/>
    <mergeCell ref="C109:F109"/>
    <mergeCell ref="C110:F110"/>
    <mergeCell ref="C111:F111"/>
    <mergeCell ref="C112:F112"/>
    <mergeCell ref="C113:F113"/>
    <mergeCell ref="C114:F114"/>
    <mergeCell ref="C116:F116"/>
    <mergeCell ref="C104:F104"/>
    <mergeCell ref="C91:F91"/>
    <mergeCell ref="C92:F92"/>
    <mergeCell ref="C94:F94"/>
    <mergeCell ref="C95:F95"/>
    <mergeCell ref="C96:F96"/>
    <mergeCell ref="C97:F97"/>
    <mergeCell ref="C99:F99"/>
    <mergeCell ref="C100:F100"/>
    <mergeCell ref="C101:F101"/>
    <mergeCell ref="C102:F102"/>
    <mergeCell ref="C103:F103"/>
    <mergeCell ref="C90:F90"/>
    <mergeCell ref="C79:F79"/>
    <mergeCell ref="C80:F80"/>
    <mergeCell ref="C81:F81"/>
    <mergeCell ref="C82:F82"/>
    <mergeCell ref="C83:F83"/>
    <mergeCell ref="C84:F84"/>
    <mergeCell ref="C85:F85"/>
    <mergeCell ref="C86:F86"/>
    <mergeCell ref="C87:F87"/>
    <mergeCell ref="C88:F88"/>
    <mergeCell ref="C89:F89"/>
    <mergeCell ref="C78:F78"/>
    <mergeCell ref="C67:F67"/>
    <mergeCell ref="C68:F68"/>
    <mergeCell ref="C69:F69"/>
    <mergeCell ref="C70:F70"/>
    <mergeCell ref="C71:F71"/>
    <mergeCell ref="C72:F72"/>
    <mergeCell ref="C73:F73"/>
    <mergeCell ref="C74:F74"/>
    <mergeCell ref="C75:F75"/>
    <mergeCell ref="C76:F76"/>
    <mergeCell ref="C77:F77"/>
    <mergeCell ref="C66:F66"/>
    <mergeCell ref="A20:C20"/>
    <mergeCell ref="A21:C21"/>
    <mergeCell ref="A52:J52"/>
    <mergeCell ref="A53:J53"/>
    <mergeCell ref="A54:J54"/>
    <mergeCell ref="C59:F59"/>
    <mergeCell ref="C61:F61"/>
    <mergeCell ref="C62:F62"/>
    <mergeCell ref="C63:F63"/>
    <mergeCell ref="C64:F64"/>
    <mergeCell ref="C65:F65"/>
    <mergeCell ref="B17:D17"/>
    <mergeCell ref="A3:J3"/>
    <mergeCell ref="B11:D11"/>
    <mergeCell ref="B12:D12"/>
    <mergeCell ref="B13:D13"/>
    <mergeCell ref="B15:D15"/>
  </mergeCells>
  <printOptions horizontalCentered="1"/>
  <pageMargins left="0.7" right="0.7" top="0.75" bottom="0.75" header="0.3" footer="0.3"/>
  <pageSetup scale="63" fitToHeight="0" orientation="landscape" r:id="rId1"/>
  <headerFooter>
    <oddHeader>&amp;F</oddHeader>
    <oddFooter>&amp;LNarrative&amp;RPage &amp;P of &amp;N</oddFooter>
  </headerFooter>
  <rowBreaks count="6" manualBreakCount="6">
    <brk id="54" max="16383" man="1"/>
    <brk id="75" max="16383" man="1"/>
    <brk id="91" max="16383" man="1"/>
    <brk id="109" max="16383" man="1"/>
    <brk id="115" max="16383" man="1"/>
    <brk id="137" max="16383" man="1"/>
  </rowBreaks>
  <drawing r:id="rId2"/>
  <legacyDrawing r:id="rId3"/>
  <controls>
    <mc:AlternateContent xmlns:mc="http://schemas.openxmlformats.org/markup-compatibility/2006">
      <mc:Choice Requires="x14">
        <control shapeId="6145" r:id="rId4" name="backMenuBtn">
          <controlPr defaultSize="0" autoLine="0" r:id="rId5">
            <anchor moveWithCells="1">
              <from>
                <xdr:col>0</xdr:col>
                <xdr:colOff>0</xdr:colOff>
                <xdr:row>0</xdr:row>
                <xdr:rowOff>0</xdr:rowOff>
              </from>
              <to>
                <xdr:col>1</xdr:col>
                <xdr:colOff>257175</xdr:colOff>
                <xdr:row>1</xdr:row>
                <xdr:rowOff>123825</xdr:rowOff>
              </to>
            </anchor>
          </controlPr>
        </control>
      </mc:Choice>
      <mc:Fallback>
        <control shapeId="6145" r:id="rId4" name="backMenuBt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AG29"/>
  <sheetViews>
    <sheetView showGridLines="0" zoomScaleNormal="100" zoomScaleSheetLayoutView="90" zoomScalePageLayoutView="80" workbookViewId="0">
      <pane xSplit="11" ySplit="9" topLeftCell="L10" activePane="bottomRight" state="frozen"/>
      <selection activeCell="C156" sqref="C156"/>
      <selection pane="topRight" activeCell="C156" sqref="C156"/>
      <selection pane="bottomLeft" activeCell="C156" sqref="C156"/>
      <selection pane="bottomRight" activeCell="C156" sqref="C156"/>
    </sheetView>
  </sheetViews>
  <sheetFormatPr defaultColWidth="8.85546875" defaultRowHeight="12.75" outlineLevelCol="1" x14ac:dyDescent="0.25"/>
  <cols>
    <col min="1" max="1" width="10.85546875" style="178" customWidth="1"/>
    <col min="2" max="2" width="13.85546875" style="177" hidden="1" customWidth="1" outlineLevel="1"/>
    <col min="3" max="3" width="16.85546875" style="177" hidden="1" customWidth="1" outlineLevel="1"/>
    <col min="4" max="4" width="20.85546875" style="177" hidden="1" customWidth="1" outlineLevel="1"/>
    <col min="5" max="9" width="4.85546875" style="177" hidden="1" customWidth="1" outlineLevel="1"/>
    <col min="10" max="10" width="10.85546875" style="177" customWidth="1" collapsed="1"/>
    <col min="11" max="11" width="64.140625" style="177" customWidth="1"/>
    <col min="12" max="12" width="10.85546875" style="178" customWidth="1"/>
    <col min="13" max="14" width="13.85546875" style="177" customWidth="1"/>
    <col min="15" max="15" width="10.85546875" style="179" customWidth="1"/>
    <col min="16" max="17" width="13.85546875" style="177" customWidth="1"/>
    <col min="18" max="19" width="10.85546875" style="177" customWidth="1"/>
    <col min="20" max="20" width="13.85546875" style="178" customWidth="1"/>
    <col min="21" max="21" width="50.85546875" style="180" customWidth="1"/>
    <col min="22" max="22" width="1.85546875" style="177" customWidth="1"/>
    <col min="23" max="26" width="13.85546875" style="177" customWidth="1"/>
    <col min="27" max="27" width="1.85546875" style="177" customWidth="1"/>
    <col min="28" max="28" width="13.140625" style="177" customWidth="1"/>
    <col min="29" max="30" width="13.85546875" style="177" customWidth="1"/>
    <col min="31" max="33" width="10.85546875" style="177" customWidth="1"/>
    <col min="34" max="16384" width="8.85546875" style="177"/>
  </cols>
  <sheetData>
    <row r="1" spans="1:33" x14ac:dyDescent="0.25">
      <c r="A1" s="178" t="s">
        <v>1</v>
      </c>
    </row>
    <row r="3" spans="1:33" ht="14.65" customHeight="1" x14ac:dyDescent="0.25">
      <c r="A3" s="176" t="str">
        <f>Narrative!A3</f>
        <v>ViewRay</v>
      </c>
      <c r="W3" s="436" t="s">
        <v>232</v>
      </c>
      <c r="X3" s="436"/>
      <c r="Y3" s="436"/>
      <c r="Z3" s="436"/>
      <c r="AA3" s="181"/>
      <c r="AB3" s="437" t="s">
        <v>233</v>
      </c>
      <c r="AC3" s="437"/>
      <c r="AD3" s="437"/>
      <c r="AE3" s="437"/>
      <c r="AF3" s="437"/>
      <c r="AG3" s="437"/>
    </row>
    <row r="4" spans="1:33" ht="15" x14ac:dyDescent="0.25">
      <c r="A4" s="176" t="s">
        <v>234</v>
      </c>
      <c r="L4" s="177"/>
      <c r="U4" s="182"/>
      <c r="V4" s="179"/>
      <c r="W4" s="438" t="s">
        <v>235</v>
      </c>
      <c r="X4" s="438"/>
      <c r="Y4" s="438"/>
      <c r="Z4" s="438"/>
      <c r="AA4" s="183"/>
      <c r="AB4" s="439" t="str">
        <f>"occurances"&amp;" "&amp;AB3&amp;"; "&amp;"thus annualized population of"</f>
        <v>occurances 1/1/19 - 6/30/19; thus annualized population of</v>
      </c>
      <c r="AC4" s="439"/>
      <c r="AD4" s="439"/>
      <c r="AE4" s="439"/>
      <c r="AF4" s="439"/>
      <c r="AG4" s="439"/>
    </row>
    <row r="5" spans="1:33" ht="15" x14ac:dyDescent="0.25">
      <c r="A5" s="176" t="str">
        <f>Narrative!A5</f>
        <v>Financial Close and Reporting (FCR)</v>
      </c>
      <c r="L5" s="177"/>
      <c r="V5" s="179"/>
      <c r="W5" s="440" t="s">
        <v>236</v>
      </c>
      <c r="X5" s="440"/>
      <c r="Y5" s="440"/>
      <c r="Z5" s="440"/>
      <c r="AA5" s="183"/>
      <c r="AB5" s="439" t="s">
        <v>237</v>
      </c>
      <c r="AC5" s="439"/>
      <c r="AD5" s="439"/>
      <c r="AE5" s="439"/>
      <c r="AF5" s="439"/>
      <c r="AG5" s="439"/>
    </row>
    <row r="6" spans="1:33" ht="14.65" customHeight="1" x14ac:dyDescent="0.25">
      <c r="A6" s="176" t="str">
        <f>Narrative!A6</f>
        <v>FY 2019</v>
      </c>
      <c r="L6" s="177"/>
      <c r="U6" s="182"/>
      <c r="W6" s="440"/>
      <c r="X6" s="440"/>
      <c r="Y6" s="440"/>
      <c r="Z6" s="440"/>
      <c r="AA6" s="183"/>
      <c r="AB6" s="441" t="s">
        <v>238</v>
      </c>
      <c r="AC6" s="441"/>
      <c r="AD6" s="441"/>
      <c r="AE6" s="441"/>
      <c r="AF6" s="441"/>
      <c r="AG6" s="441"/>
    </row>
    <row r="7" spans="1:33" ht="14.65" customHeight="1" x14ac:dyDescent="0.25">
      <c r="A7" s="176"/>
      <c r="E7" s="432" t="s">
        <v>239</v>
      </c>
      <c r="F7" s="432"/>
      <c r="G7" s="432"/>
      <c r="H7" s="432"/>
      <c r="I7" s="432"/>
      <c r="L7" s="177"/>
      <c r="U7" s="182"/>
      <c r="W7" s="179"/>
      <c r="X7" s="179"/>
    </row>
    <row r="8" spans="1:33" s="188" customFormat="1" ht="14.65" customHeight="1" x14ac:dyDescent="0.25">
      <c r="A8" s="184"/>
      <c r="B8" s="184"/>
      <c r="C8" s="185"/>
      <c r="D8" s="185"/>
      <c r="E8" s="432"/>
      <c r="F8" s="432"/>
      <c r="G8" s="432"/>
      <c r="H8" s="432"/>
      <c r="I8" s="432"/>
      <c r="J8" s="185"/>
      <c r="K8" s="185"/>
      <c r="L8" s="185"/>
      <c r="M8" s="185"/>
      <c r="N8" s="185"/>
      <c r="O8" s="186"/>
      <c r="P8" s="185"/>
      <c r="Q8" s="185"/>
      <c r="R8" s="185"/>
      <c r="S8" s="185"/>
      <c r="T8" s="187"/>
      <c r="U8" s="185"/>
      <c r="V8"/>
      <c r="W8" s="433" t="s">
        <v>240</v>
      </c>
      <c r="X8" s="434"/>
      <c r="Y8" s="434"/>
      <c r="Z8" s="435"/>
      <c r="AB8" s="432" t="s">
        <v>241</v>
      </c>
      <c r="AC8" s="432"/>
      <c r="AD8" s="432"/>
      <c r="AE8" s="432"/>
      <c r="AF8" s="432"/>
      <c r="AG8" s="432"/>
    </row>
    <row r="9" spans="1:33" s="191" customFormat="1" ht="89.25" customHeight="1" x14ac:dyDescent="0.2">
      <c r="A9" s="189" t="s">
        <v>242</v>
      </c>
      <c r="B9" s="189" t="s">
        <v>243</v>
      </c>
      <c r="C9" s="189" t="s">
        <v>244</v>
      </c>
      <c r="D9" s="189" t="s">
        <v>245</v>
      </c>
      <c r="E9" s="190" t="s">
        <v>246</v>
      </c>
      <c r="F9" s="190" t="s">
        <v>247</v>
      </c>
      <c r="G9" s="190" t="s">
        <v>248</v>
      </c>
      <c r="H9" s="190" t="s">
        <v>249</v>
      </c>
      <c r="I9" s="190" t="s">
        <v>250</v>
      </c>
      <c r="J9" s="189" t="s">
        <v>251</v>
      </c>
      <c r="K9" s="189" t="s">
        <v>252</v>
      </c>
      <c r="L9" s="189" t="s">
        <v>99</v>
      </c>
      <c r="M9" s="189" t="s">
        <v>253</v>
      </c>
      <c r="N9" s="189" t="s">
        <v>254</v>
      </c>
      <c r="O9" s="189" t="s">
        <v>255</v>
      </c>
      <c r="P9" s="189" t="s">
        <v>256</v>
      </c>
      <c r="Q9" s="189" t="s">
        <v>257</v>
      </c>
      <c r="R9" s="189" t="s">
        <v>258</v>
      </c>
      <c r="S9" s="189" t="s">
        <v>259</v>
      </c>
      <c r="T9" s="189" t="s">
        <v>260</v>
      </c>
      <c r="U9" s="189" t="s">
        <v>261</v>
      </c>
      <c r="W9" s="189" t="s">
        <v>262</v>
      </c>
      <c r="X9" s="192" t="s">
        <v>263</v>
      </c>
      <c r="Y9" s="192" t="s">
        <v>264</v>
      </c>
      <c r="Z9" s="192" t="s">
        <v>265</v>
      </c>
      <c r="AB9" s="189" t="s">
        <v>266</v>
      </c>
      <c r="AC9" s="189" t="s">
        <v>267</v>
      </c>
      <c r="AD9" s="189" t="s">
        <v>268</v>
      </c>
      <c r="AE9" s="189" t="s">
        <v>269</v>
      </c>
      <c r="AF9" s="189" t="s">
        <v>270</v>
      </c>
      <c r="AG9" s="189" t="s">
        <v>271</v>
      </c>
    </row>
    <row r="10" spans="1:33" s="204" customFormat="1" ht="102" customHeight="1" x14ac:dyDescent="0.2">
      <c r="A10" s="193" t="s">
        <v>272</v>
      </c>
      <c r="B10" s="194" t="str">
        <f>Narrative!$A$59&amp;" "&amp;Narrative!$C$59</f>
        <v>FCR 1.00 Chart of Accounts Set-up / Maintenance</v>
      </c>
      <c r="C10" s="195" t="s">
        <v>51</v>
      </c>
      <c r="D10" s="196" t="s">
        <v>273</v>
      </c>
      <c r="E10" s="197"/>
      <c r="F10" s="197" t="s">
        <v>274</v>
      </c>
      <c r="G10" s="198"/>
      <c r="H10" s="197" t="s">
        <v>274</v>
      </c>
      <c r="I10" s="197"/>
      <c r="J10" s="193" t="str">
        <f>Narrative!$A$62</f>
        <v>FCR 1.02</v>
      </c>
      <c r="K10" s="199" t="str">
        <f>VLOOKUP($J10,Narrative!$A:$J,3,0)</f>
        <v>All requests for Chart of Accounts additions, modifications, and deletions are approved by the Corporate Controller for approval.  Approval is evidenced by email.</v>
      </c>
      <c r="L10" s="200">
        <f>VLOOKUP($J10,Narrative!$A:$J,8,0)</f>
        <v>42186</v>
      </c>
      <c r="M10" s="193" t="str">
        <f>VLOOKUP($J10,Narrative!$A:$J,10,0)</f>
        <v>Corporate Controller</v>
      </c>
      <c r="N10" s="193" t="s">
        <v>275</v>
      </c>
      <c r="O10" s="193" t="s">
        <v>276</v>
      </c>
      <c r="P10" s="193" t="s">
        <v>277</v>
      </c>
      <c r="Q10" s="193" t="s">
        <v>278</v>
      </c>
      <c r="R10" s="193" t="s">
        <v>279</v>
      </c>
      <c r="S10" s="201" t="s">
        <v>280</v>
      </c>
      <c r="T10" s="202" t="s">
        <v>281</v>
      </c>
      <c r="U10" s="203" t="s">
        <v>282</v>
      </c>
      <c r="W10" s="205" t="str">
        <f>VLOOKUP(J10,'WT (WT)'!$A$8:$K$24,11,0)</f>
        <v>Effective</v>
      </c>
      <c r="X10" s="205" t="str">
        <f>'FCR 1.02 (WP)'!C84</f>
        <v>Effective</v>
      </c>
      <c r="Y10" s="205" t="str">
        <f>'FCR 1.02 (WP)'!E84</f>
        <v>TBD</v>
      </c>
      <c r="Z10" s="205" t="str">
        <f>'FCR 1.02 (WP)'!G84</f>
        <v>TBD</v>
      </c>
      <c r="AA10" s="206"/>
      <c r="AB10" s="202">
        <f>15</f>
        <v>15</v>
      </c>
      <c r="AC10" s="207">
        <f>AB10*2</f>
        <v>30</v>
      </c>
      <c r="AD10" s="207">
        <v>5</v>
      </c>
      <c r="AE10" s="207">
        <v>3</v>
      </c>
      <c r="AF10" s="207">
        <v>1</v>
      </c>
      <c r="AG10" s="207">
        <v>1</v>
      </c>
    </row>
    <row r="11" spans="1:33" s="179" customFormat="1" ht="202.5" customHeight="1" x14ac:dyDescent="0.2">
      <c r="A11" s="193" t="s">
        <v>272</v>
      </c>
      <c r="B11" s="194" t="str">
        <f>Narrative!$A$64&amp;" "&amp;Narrative!$C$64</f>
        <v>FCR 2.00 Journal Entries</v>
      </c>
      <c r="C11" s="195" t="s">
        <v>51</v>
      </c>
      <c r="D11" s="196" t="s">
        <v>283</v>
      </c>
      <c r="E11" s="197" t="s">
        <v>274</v>
      </c>
      <c r="F11" s="197" t="s">
        <v>274</v>
      </c>
      <c r="G11" s="197" t="s">
        <v>274</v>
      </c>
      <c r="H11" s="197" t="s">
        <v>274</v>
      </c>
      <c r="I11" s="197" t="s">
        <v>274</v>
      </c>
      <c r="J11" s="193" t="str">
        <f>Narrative!A70</f>
        <v>FCR 2.05</v>
      </c>
      <c r="K11" s="199" t="str">
        <f>VLOOKUP($J11,Narrative!$A:$J,3,0)</f>
        <v>All journal entries are reviewed by an individual independent of the preparer at the Accounting Manager level and above.  The reviewer agrees the system journal entry to the Journal Entry Form, as applicable and to the support to evidence proper preparation. The review also includes ensuring that the support is adequate and mathematically accurate.  The review is evidenced by sign off on the Journal Entry Form or sign off on the printed journal entry. As of March 2019 month end, journal entries are routed for approval within QAD, thus the review and approval is evidenced by the QAD system approver.</v>
      </c>
      <c r="L11" s="200">
        <f>VLOOKUP($J11,Narrative!$A:$J,8,0)</f>
        <v>43525</v>
      </c>
      <c r="M11" s="193" t="str">
        <f>VLOOKUP($J11,Narrative!$A:$J,10,0)</f>
        <v>Accounting Manager &amp; Above</v>
      </c>
      <c r="N11" s="193" t="s">
        <v>275</v>
      </c>
      <c r="O11" s="193" t="s">
        <v>276</v>
      </c>
      <c r="P11" s="193" t="s">
        <v>277</v>
      </c>
      <c r="Q11" s="193" t="s">
        <v>278</v>
      </c>
      <c r="R11" s="193" t="s">
        <v>279</v>
      </c>
      <c r="S11" s="201" t="s">
        <v>284</v>
      </c>
      <c r="T11" s="202" t="s">
        <v>281</v>
      </c>
      <c r="U11" s="203" t="s">
        <v>285</v>
      </c>
      <c r="V11" s="204"/>
      <c r="W11" s="205" t="str">
        <f>VLOOKUP(J11,'WT (WT)'!$A$8:$K$24,11,0)</f>
        <v>Effective</v>
      </c>
      <c r="X11" s="205" t="str">
        <f>'FCR 2.05 (WP)'!C258</f>
        <v>Effective</v>
      </c>
      <c r="Y11" s="205" t="str">
        <f>'FCR 2.05 (WP)'!E258</f>
        <v>TBD</v>
      </c>
      <c r="Z11" s="205" t="str">
        <f>'FCR 2.05 (WP)'!G258</f>
        <v>TBD</v>
      </c>
      <c r="AA11" s="206"/>
      <c r="AB11" s="202" t="s">
        <v>286</v>
      </c>
      <c r="AC11" s="202" t="str">
        <f>AB11</f>
        <v>365+</v>
      </c>
      <c r="AD11" s="202">
        <v>35</v>
      </c>
      <c r="AE11" s="202">
        <v>21</v>
      </c>
      <c r="AF11" s="202">
        <v>11</v>
      </c>
      <c r="AG11" s="202">
        <v>3</v>
      </c>
    </row>
    <row r="12" spans="1:33" s="179" customFormat="1" ht="202.5" customHeight="1" x14ac:dyDescent="0.2">
      <c r="A12" s="208" t="s">
        <v>272</v>
      </c>
      <c r="B12" s="209" t="str">
        <f>Narrative!$A$64&amp;" "&amp;Narrative!$C$64</f>
        <v>FCR 2.00 Journal Entries</v>
      </c>
      <c r="C12" s="195" t="s">
        <v>51</v>
      </c>
      <c r="D12" s="196" t="s">
        <v>287</v>
      </c>
      <c r="E12" s="197" t="s">
        <v>274</v>
      </c>
      <c r="F12" s="197" t="s">
        <v>274</v>
      </c>
      <c r="G12" s="197"/>
      <c r="H12" s="197" t="s">
        <v>274</v>
      </c>
      <c r="I12" s="197" t="s">
        <v>274</v>
      </c>
      <c r="J12" s="193" t="str">
        <f>Narrative!A72</f>
        <v>FCR 2.07</v>
      </c>
      <c r="K12" s="199" t="str">
        <f>VLOOKUP($J12,Narrative!$A:$J,3,0)</f>
        <v>QAD is configured to reject a journal entry that: 1) is unbalanced,  or 2) contains inactive or invalid general ledger accounts. QAD is also configured to reject changes to a journal entry that has been posted. Refer to section FCR 5.00 for the non-key control covering locking of accounting periods.</v>
      </c>
      <c r="L12" s="200">
        <f>VLOOKUP($J12,Narrative!$A:$J,8,0)</f>
        <v>43282</v>
      </c>
      <c r="M12" s="193" t="str">
        <f>VLOOKUP($J12,Narrative!$A:$J,10,0)</f>
        <v>QAD</v>
      </c>
      <c r="N12" s="193" t="s">
        <v>288</v>
      </c>
      <c r="O12" s="193" t="s">
        <v>289</v>
      </c>
      <c r="P12" s="193" t="s">
        <v>290</v>
      </c>
      <c r="Q12" s="193" t="s">
        <v>278</v>
      </c>
      <c r="R12" s="193" t="s">
        <v>281</v>
      </c>
      <c r="S12" s="201" t="s">
        <v>280</v>
      </c>
      <c r="T12" s="202" t="s">
        <v>281</v>
      </c>
      <c r="U12" s="210" t="s">
        <v>291</v>
      </c>
      <c r="V12" s="204"/>
      <c r="W12" s="205" t="s">
        <v>291</v>
      </c>
      <c r="X12" s="205" t="s">
        <v>291</v>
      </c>
      <c r="Y12" s="205" t="s">
        <v>291</v>
      </c>
      <c r="Z12" s="205" t="s">
        <v>291</v>
      </c>
      <c r="AA12" s="206"/>
      <c r="AB12" s="202">
        <v>0</v>
      </c>
      <c r="AC12" s="202">
        <v>0</v>
      </c>
      <c r="AD12" s="202">
        <v>0</v>
      </c>
      <c r="AE12" s="202">
        <v>0</v>
      </c>
      <c r="AF12" s="202">
        <v>0</v>
      </c>
      <c r="AG12" s="202">
        <v>0</v>
      </c>
    </row>
    <row r="13" spans="1:33" s="179" customFormat="1" ht="202.5" customHeight="1" x14ac:dyDescent="0.2">
      <c r="A13" s="193" t="s">
        <v>272</v>
      </c>
      <c r="B13" s="194" t="str">
        <f>Narrative!$A$64&amp;" "&amp;Narrative!$C$64</f>
        <v>FCR 2.00 Journal Entries</v>
      </c>
      <c r="C13" s="195" t="s">
        <v>51</v>
      </c>
      <c r="D13" s="211" t="s">
        <v>292</v>
      </c>
      <c r="E13" s="212" t="s">
        <v>274</v>
      </c>
      <c r="F13" s="212" t="s">
        <v>274</v>
      </c>
      <c r="G13" s="213"/>
      <c r="H13" s="212" t="s">
        <v>274</v>
      </c>
      <c r="I13" s="213"/>
      <c r="J13" s="193" t="str">
        <f>Narrative!$A$74</f>
        <v>FCR 2.09</v>
      </c>
      <c r="K13" s="199" t="str">
        <f>VLOOKUP($J13,Narrative!$A:$J,3,0)</f>
        <v>At each month end, the Corporate Controller, who does not have access to post journal entries, reviews the QAD Journal Entry Listing to ensure that all journal entries were properly authorized and reviewed/approved by someone other than the preparer.  Effective May 2019, the Corporate Controller also reviews all users listed as creators general ledger entries for the period to ensure that the QAD administrators (superusers) have not processed any general ledger transactions.  The review is evidenced by sign off and date on the QAD Journal Entry Listing and screen shots of all creators of general ledger entries for the period.</v>
      </c>
      <c r="L13" s="200">
        <f>VLOOKUP($J13,Narrative!$A:$J,8,0)</f>
        <v>43525</v>
      </c>
      <c r="M13" s="193" t="str">
        <f>VLOOKUP($J13,Narrative!$A:$J,10,0)</f>
        <v>Corporate Controller</v>
      </c>
      <c r="N13" s="193" t="s">
        <v>293</v>
      </c>
      <c r="O13" s="193" t="s">
        <v>276</v>
      </c>
      <c r="P13" s="193" t="s">
        <v>294</v>
      </c>
      <c r="Q13" s="193" t="s">
        <v>278</v>
      </c>
      <c r="R13" s="193" t="s">
        <v>279</v>
      </c>
      <c r="S13" s="201" t="s">
        <v>280</v>
      </c>
      <c r="T13" s="202" t="s">
        <v>281</v>
      </c>
      <c r="U13" s="203" t="s">
        <v>295</v>
      </c>
      <c r="V13" s="204"/>
      <c r="W13" s="205" t="str">
        <f>VLOOKUP(J13,'WT (WT)'!$A$8:$K$24,11,0)</f>
        <v>Effective</v>
      </c>
      <c r="X13" s="205" t="str">
        <f>'FCR 2.09 (WP)'!D80</f>
        <v>Effective</v>
      </c>
      <c r="Y13" s="205" t="str">
        <f>'FCR 2.09 (WP)'!F80</f>
        <v>TBD</v>
      </c>
      <c r="Z13" s="205" t="str">
        <f>'FCR 2.09 (WP)'!H80</f>
        <v>TBD</v>
      </c>
      <c r="AA13" s="206"/>
      <c r="AB13" s="202">
        <v>6</v>
      </c>
      <c r="AC13" s="202">
        <f>AB13*2</f>
        <v>12</v>
      </c>
      <c r="AD13" s="202">
        <v>3</v>
      </c>
      <c r="AE13" s="202">
        <v>2</v>
      </c>
      <c r="AF13" s="202">
        <v>0</v>
      </c>
      <c r="AG13" s="202">
        <v>1</v>
      </c>
    </row>
    <row r="14" spans="1:33" s="179" customFormat="1" ht="202.5" customHeight="1" x14ac:dyDescent="0.2">
      <c r="A14" s="193" t="s">
        <v>272</v>
      </c>
      <c r="B14" s="194" t="str">
        <f>Narrative!$A$13&amp;" "&amp;Narrative!$B$13</f>
        <v>FCR 3.00 Accruals &amp; Prepaids</v>
      </c>
      <c r="C14" s="195" t="s">
        <v>51</v>
      </c>
      <c r="D14" s="196" t="s">
        <v>296</v>
      </c>
      <c r="E14" s="212" t="s">
        <v>274</v>
      </c>
      <c r="F14" s="212" t="s">
        <v>274</v>
      </c>
      <c r="G14" s="213"/>
      <c r="H14" s="212" t="s">
        <v>274</v>
      </c>
      <c r="I14" s="212" t="s">
        <v>274</v>
      </c>
      <c r="J14" s="193" t="str">
        <f>Narrative!$A$81</f>
        <v>FCR 3.04</v>
      </c>
      <c r="K14" s="199" t="str">
        <f>VLOOKUP($J14,Narrative!$A:$J,3,0)</f>
        <v>On a quarterly basis, the Senior Accountant validates the Accrualify Unvouched Invoice List by selecting sample invoices from the AP inbox that were received the prior business day.  The sampled invoices are agreed to the Accrualify report to ensure that each was accurately captured in the Unvouched Invoice List.  If any variances exist, the Accrualify is contacted to resolve the issue.  The Senior Accountant signs off on the report and notes all findings as evidence of review, along with retaining a copy of the sampled invoices with the final tested report.</v>
      </c>
      <c r="L14" s="200">
        <f>VLOOKUP($J14,Narrative!$A:$J,8,0)</f>
        <v>43678</v>
      </c>
      <c r="M14" s="193" t="str">
        <f>VLOOKUP($J14,Narrative!$A:$J,10,0)</f>
        <v>Senior Accountant</v>
      </c>
      <c r="N14" s="193" t="s">
        <v>297</v>
      </c>
      <c r="O14" s="193" t="s">
        <v>276</v>
      </c>
      <c r="P14" s="193" t="s">
        <v>294</v>
      </c>
      <c r="Q14" s="193" t="s">
        <v>278</v>
      </c>
      <c r="R14" s="193" t="s">
        <v>281</v>
      </c>
      <c r="S14" s="201" t="s">
        <v>280</v>
      </c>
      <c r="T14" s="202" t="s">
        <v>281</v>
      </c>
      <c r="U14" s="203" t="s">
        <v>298</v>
      </c>
      <c r="V14" s="204"/>
      <c r="W14" s="205" t="str">
        <f>VLOOKUP(J14,'WT (WT)'!$A$8:$K$24,11,0)</f>
        <v>Inconclusive (Not in Place)</v>
      </c>
      <c r="X14" s="205" t="str">
        <f>'FCR 3.04 (WP)'!C71</f>
        <v>Inconclusive (Not in Place)</v>
      </c>
      <c r="Y14" s="205" t="str">
        <f>'FCR 3.04 (WP)'!E71</f>
        <v>TBD</v>
      </c>
      <c r="Z14" s="205" t="str">
        <f>'FCR 3.04 (WP)'!G71</f>
        <v>TBD</v>
      </c>
      <c r="AA14" s="206"/>
      <c r="AB14" s="202">
        <v>1</v>
      </c>
      <c r="AC14" s="202">
        <f>AB14*2</f>
        <v>2</v>
      </c>
      <c r="AD14" s="202">
        <v>2</v>
      </c>
      <c r="AE14" s="202">
        <v>0</v>
      </c>
      <c r="AF14" s="202">
        <v>1</v>
      </c>
      <c r="AG14" s="202">
        <v>1</v>
      </c>
    </row>
    <row r="15" spans="1:33" s="179" customFormat="1" ht="202.5" customHeight="1" x14ac:dyDescent="0.2">
      <c r="A15" s="193" t="s">
        <v>272</v>
      </c>
      <c r="B15" s="194" t="str">
        <f>Narrative!$A$13&amp;" "&amp;Narrative!$B$13</f>
        <v>FCR 3.00 Accruals &amp; Prepaids</v>
      </c>
      <c r="C15" s="195" t="s">
        <v>51</v>
      </c>
      <c r="D15" s="196" t="s">
        <v>296</v>
      </c>
      <c r="E15" s="212" t="s">
        <v>274</v>
      </c>
      <c r="F15" s="212" t="s">
        <v>274</v>
      </c>
      <c r="G15" s="213"/>
      <c r="H15" s="212" t="s">
        <v>274</v>
      </c>
      <c r="I15" s="212" t="s">
        <v>274</v>
      </c>
      <c r="J15" s="193" t="str">
        <f>Narrative!$A$86</f>
        <v>FCR 3.09</v>
      </c>
      <c r="K15" s="199" t="str">
        <f>VLOOKUP($J15,Narrative!$A:$J,3,0)</f>
        <v xml:space="preserve">The Accounting Manager or delegate reviews and approves the monthly non-materials accrual journal entries for completeness and accuracy. The review includes ensuring that accrued expenses are not duplicated in the AP Aging, the notes on the Accrual workbook are properly supported.  The review is evidenced by review notes and sign-off is evidence of approval.  Refer to section INV 3.00 for the key control over the materials accrual. </v>
      </c>
      <c r="L15" s="200">
        <f>VLOOKUP($J15,Narrative!$A:$J,8,0)</f>
        <v>42186</v>
      </c>
      <c r="M15" s="193" t="str">
        <f>VLOOKUP($J15,Narrative!$A:$J,10,0)</f>
        <v>Accounting Manger</v>
      </c>
      <c r="N15" s="193" t="s">
        <v>293</v>
      </c>
      <c r="O15" s="193" t="s">
        <v>276</v>
      </c>
      <c r="P15" s="193" t="s">
        <v>294</v>
      </c>
      <c r="Q15" s="193" t="s">
        <v>278</v>
      </c>
      <c r="R15" s="193" t="s">
        <v>281</v>
      </c>
      <c r="S15" s="201" t="s">
        <v>280</v>
      </c>
      <c r="T15" s="202" t="s">
        <v>279</v>
      </c>
      <c r="U15" s="203" t="s">
        <v>299</v>
      </c>
      <c r="V15" s="204"/>
      <c r="W15" s="205" t="str">
        <f>VLOOKUP(J15,'WT (WT)'!$A$8:$K$24,11,0)</f>
        <v>Effective</v>
      </c>
      <c r="X15" s="205" t="str">
        <f>'FCR 3.09 (WP)'!D142</f>
        <v>Effective</v>
      </c>
      <c r="Y15" s="205" t="str">
        <f>'FCR 3.09 (WP)'!F142</f>
        <v>TBD</v>
      </c>
      <c r="Z15" s="205" t="str">
        <f>'FCR 3.09 (WP)'!H142</f>
        <v>TBD</v>
      </c>
      <c r="AA15" s="206"/>
      <c r="AB15" s="193">
        <v>6</v>
      </c>
      <c r="AC15" s="202">
        <f>AB15*2</f>
        <v>12</v>
      </c>
      <c r="AD15" s="202">
        <v>15</v>
      </c>
      <c r="AE15" s="202">
        <v>9</v>
      </c>
      <c r="AF15" s="202">
        <v>4</v>
      </c>
      <c r="AG15" s="202">
        <v>1</v>
      </c>
    </row>
    <row r="16" spans="1:33" s="179" customFormat="1" ht="202.5" customHeight="1" x14ac:dyDescent="0.2">
      <c r="A16" s="193" t="s">
        <v>272</v>
      </c>
      <c r="B16" s="194" t="str">
        <f>Narrative!$A$13&amp;" "&amp;Narrative!$B$13</f>
        <v>FCR 3.00 Accruals &amp; Prepaids</v>
      </c>
      <c r="C16" s="195" t="s">
        <v>51</v>
      </c>
      <c r="D16" s="196" t="s">
        <v>296</v>
      </c>
      <c r="E16" s="214" t="s">
        <v>274</v>
      </c>
      <c r="F16" s="214" t="s">
        <v>274</v>
      </c>
      <c r="G16" s="214"/>
      <c r="H16" s="214" t="s">
        <v>274</v>
      </c>
      <c r="I16" s="214" t="s">
        <v>274</v>
      </c>
      <c r="J16" s="193" t="str">
        <f>Narrative!$A$90</f>
        <v>FCR 3.12</v>
      </c>
      <c r="K16" s="199" t="str">
        <f>VLOOKUP($J16,Narrative!$A:$J,3,0)</f>
        <v>In the month after the quarter end and prior to filing the 10Q/10K, the Corporate Controller reviews the Subsequent Invoice Log to determine the materiality of the invoices on the listing and whether any should be recorded in the reporting period. The review and decision is documented by sign-off or emails.</v>
      </c>
      <c r="L16" s="200">
        <f>VLOOKUP($J16,Narrative!$A:$J,8,0)</f>
        <v>42186</v>
      </c>
      <c r="M16" s="193" t="str">
        <f>VLOOKUP($J16,Narrative!$A:$J,10,0)</f>
        <v>Corporate Controller</v>
      </c>
      <c r="N16" s="193" t="s">
        <v>293</v>
      </c>
      <c r="O16" s="193" t="s">
        <v>276</v>
      </c>
      <c r="P16" s="193" t="s">
        <v>294</v>
      </c>
      <c r="Q16" s="193" t="s">
        <v>278</v>
      </c>
      <c r="R16" s="193" t="s">
        <v>281</v>
      </c>
      <c r="S16" s="201" t="s">
        <v>280</v>
      </c>
      <c r="T16" s="202" t="s">
        <v>281</v>
      </c>
      <c r="U16" s="215" t="s">
        <v>300</v>
      </c>
      <c r="V16" s="204"/>
      <c r="W16" s="205" t="str">
        <f>VLOOKUP(J16,'WT (WT)'!$A$8:$K$24,11,0)</f>
        <v>Effective</v>
      </c>
      <c r="X16" s="205" t="str">
        <f>'FCR 3.12 (WP)'!C70</f>
        <v>Effective</v>
      </c>
      <c r="Y16" s="205" t="str">
        <f>'FCR 3.12 (WP)'!E70</f>
        <v>TBD</v>
      </c>
      <c r="Z16" s="205" t="str">
        <f>'FCR 3.12 (WP)'!G70</f>
        <v>TBD</v>
      </c>
      <c r="AA16" s="206"/>
      <c r="AB16" s="202">
        <v>6</v>
      </c>
      <c r="AC16" s="202">
        <f>AB16*2</f>
        <v>12</v>
      </c>
      <c r="AD16" s="202">
        <v>2</v>
      </c>
      <c r="AE16" s="202">
        <v>1</v>
      </c>
      <c r="AF16" s="202">
        <v>0</v>
      </c>
      <c r="AG16" s="202">
        <v>1</v>
      </c>
    </row>
    <row r="17" spans="1:33" s="179" customFormat="1" ht="202.5" customHeight="1" x14ac:dyDescent="0.2">
      <c r="A17" s="193" t="s">
        <v>272</v>
      </c>
      <c r="B17" s="194" t="str">
        <f>Narrative!$A$14&amp;" "&amp;Narrative!$B$14</f>
        <v>FCR 4.00 Account Reconciliations</v>
      </c>
      <c r="C17" s="195" t="s">
        <v>51</v>
      </c>
      <c r="D17" s="216" t="s">
        <v>301</v>
      </c>
      <c r="E17" s="217" t="s">
        <v>274</v>
      </c>
      <c r="F17" s="217" t="s">
        <v>274</v>
      </c>
      <c r="G17" s="218"/>
      <c r="H17" s="218" t="s">
        <v>274</v>
      </c>
      <c r="I17" s="217" t="s">
        <v>274</v>
      </c>
      <c r="J17" s="193" t="str">
        <f>Narrative!$A$95</f>
        <v>FCR 4.02</v>
      </c>
      <c r="K17" s="199" t="str">
        <f>VLOOKUP($J17,Narrative!$A:$J,3,0)</f>
        <v xml:space="preserve">Monthly, all reconciliations are reviewed by an individual independent of the preparer by agreeing the reconciliation to the supporting documentation, ensuring mathematical accuracy, and agreeing the ending balance to the general ledger.  Reconciling items exceeding the greater of $1K are investigated and explained.  The review is evidenced by comments noted on the reconciliation and the approval is evidenced by sign-off on the reconciliation.  </v>
      </c>
      <c r="L17" s="200">
        <f>VLOOKUP($J17,Narrative!$A:$J,8,0)</f>
        <v>42186</v>
      </c>
      <c r="M17" s="193" t="str">
        <f>VLOOKUP($J17,Narrative!$A:$J,10,0)</f>
        <v>Accounting Manager or Above</v>
      </c>
      <c r="N17" s="193" t="s">
        <v>293</v>
      </c>
      <c r="O17" s="193" t="s">
        <v>276</v>
      </c>
      <c r="P17" s="193" t="s">
        <v>294</v>
      </c>
      <c r="Q17" s="193" t="s">
        <v>278</v>
      </c>
      <c r="R17" s="193" t="s">
        <v>279</v>
      </c>
      <c r="S17" s="201" t="s">
        <v>284</v>
      </c>
      <c r="T17" s="202" t="s">
        <v>281</v>
      </c>
      <c r="U17" s="203" t="s">
        <v>302</v>
      </c>
      <c r="V17" s="204"/>
      <c r="W17" s="205" t="str">
        <f>VLOOKUP(J17,'WT (WT)'!$A$8:$K$24,11,0)</f>
        <v>Effective</v>
      </c>
      <c r="X17" s="205" t="str">
        <f>'FCR 4.02 (WP)'!C212</f>
        <v>Effective</v>
      </c>
      <c r="Y17" s="205" t="str">
        <f>'FCR 4.02 (WP)'!F212</f>
        <v>TBD</v>
      </c>
      <c r="Z17" s="205" t="str">
        <f>'FCR 4.02 (WP)'!I212</f>
        <v>TBD</v>
      </c>
      <c r="AA17" s="206"/>
      <c r="AB17" s="202" t="s">
        <v>286</v>
      </c>
      <c r="AC17" s="202" t="str">
        <f>AB17</f>
        <v>365+</v>
      </c>
      <c r="AD17" s="202">
        <f>AD11</f>
        <v>35</v>
      </c>
      <c r="AE17" s="202">
        <v>20</v>
      </c>
      <c r="AF17" s="202">
        <v>12</v>
      </c>
      <c r="AG17" s="202">
        <f>AG11</f>
        <v>3</v>
      </c>
    </row>
    <row r="18" spans="1:33" s="179" customFormat="1" ht="202.5" customHeight="1" x14ac:dyDescent="0.2">
      <c r="A18" s="193" t="s">
        <v>272</v>
      </c>
      <c r="B18" s="194" t="str">
        <f>Narrative!$A$14&amp;" "&amp;Narrative!$B$14</f>
        <v>FCR 4.00 Account Reconciliations</v>
      </c>
      <c r="C18" s="195" t="s">
        <v>51</v>
      </c>
      <c r="D18" s="216" t="s">
        <v>303</v>
      </c>
      <c r="E18" s="217" t="s">
        <v>274</v>
      </c>
      <c r="F18" s="217" t="s">
        <v>274</v>
      </c>
      <c r="G18" s="218"/>
      <c r="H18" s="218" t="s">
        <v>274</v>
      </c>
      <c r="I18" s="217"/>
      <c r="J18" s="193" t="str">
        <f>Narrative!$A$97</f>
        <v>FCR 4.04</v>
      </c>
      <c r="K18" s="199" t="str">
        <f>VLOOKUP($J18,Narrative!$A:$J,3,0)</f>
        <v>Monthly, the Corporate Controller reviews all account reconciliations against the trial balance to ensure the completeness of the month end reconciliations and to ensure that all activity for the period has been properly reviewed.  The final trial balance is signed off and dated by the Corporate Controller, along with any notes, to evidence the review and approval.</v>
      </c>
      <c r="L18" s="200">
        <f>VLOOKUP($J18,Narrative!$A:$J,8,0)</f>
        <v>43525</v>
      </c>
      <c r="M18" s="193" t="str">
        <f>VLOOKUP($J18,Narrative!$A:$J,10,0)</f>
        <v>Corporate Controller</v>
      </c>
      <c r="N18" s="193" t="s">
        <v>293</v>
      </c>
      <c r="O18" s="193" t="s">
        <v>276</v>
      </c>
      <c r="P18" s="193" t="s">
        <v>294</v>
      </c>
      <c r="Q18" s="193" t="s">
        <v>278</v>
      </c>
      <c r="R18" s="193" t="s">
        <v>281</v>
      </c>
      <c r="S18" s="201" t="s">
        <v>280</v>
      </c>
      <c r="T18" s="202" t="s">
        <v>281</v>
      </c>
      <c r="U18" s="203" t="s">
        <v>304</v>
      </c>
      <c r="V18" s="204"/>
      <c r="W18" s="205" t="str">
        <f>VLOOKUP(J18,'WT (WT)'!$A$8:$K$24,11,0)</f>
        <v>Effective</v>
      </c>
      <c r="X18" s="205" t="str">
        <f>'FCR 4.04 (WP)'!C70</f>
        <v>Effective</v>
      </c>
      <c r="Y18" s="205" t="str">
        <f>'FCR 4.04 (WP)'!E70</f>
        <v>TBD</v>
      </c>
      <c r="Z18" s="205" t="str">
        <f>'FCR 4.04 (WP)'!G70</f>
        <v>TBD</v>
      </c>
      <c r="AA18" s="206"/>
      <c r="AB18" s="202">
        <v>6</v>
      </c>
      <c r="AC18" s="202">
        <f>AB18*2</f>
        <v>12</v>
      </c>
      <c r="AD18" s="202">
        <v>2</v>
      </c>
      <c r="AE18" s="202">
        <v>1</v>
      </c>
      <c r="AF18" s="202">
        <v>0</v>
      </c>
      <c r="AG18" s="202">
        <v>1</v>
      </c>
    </row>
    <row r="19" spans="1:33" ht="202.5" customHeight="1" x14ac:dyDescent="0.2">
      <c r="A19" s="208" t="s">
        <v>272</v>
      </c>
      <c r="B19" s="209" t="str">
        <f>Narrative!$A$99&amp;" "&amp;Narrative!$C$99</f>
        <v>FCR 5.00 Period-End Close</v>
      </c>
      <c r="C19" s="195" t="s">
        <v>51</v>
      </c>
      <c r="D19" s="196" t="s">
        <v>305</v>
      </c>
      <c r="E19" s="197" t="s">
        <v>274</v>
      </c>
      <c r="F19" s="197" t="s">
        <v>274</v>
      </c>
      <c r="G19" s="218" t="s">
        <v>274</v>
      </c>
      <c r="H19" s="197"/>
      <c r="I19" s="218"/>
      <c r="J19" s="208" t="str">
        <f>Narrative!$A$103</f>
        <v>FCR 5.03</v>
      </c>
      <c r="K19" s="219" t="str">
        <f>VLOOKUP($J19,Narrative!$A:$J,3,0)</f>
        <v>On a quarterly basis, the Corporate Controller reviews the Month-end Close Checklist to track and confirm the completion of the monthly journal entries and account reconciliations based on the balance sheet before the general ledger is closed for the month as evidenced by notes and sign off.</v>
      </c>
      <c r="L19" s="220">
        <f>VLOOKUP($J19,Narrative!$A:$J,8,0)</f>
        <v>42186</v>
      </c>
      <c r="M19" s="208" t="str">
        <f>VLOOKUP($J19,Narrative!$A:$J,10,0)</f>
        <v>Corporate Controller</v>
      </c>
      <c r="N19" s="208" t="s">
        <v>297</v>
      </c>
      <c r="O19" s="193" t="s">
        <v>289</v>
      </c>
      <c r="P19" s="208" t="s">
        <v>294</v>
      </c>
      <c r="Q19" s="208" t="s">
        <v>278</v>
      </c>
      <c r="R19" s="208" t="s">
        <v>281</v>
      </c>
      <c r="S19" s="201" t="s">
        <v>280</v>
      </c>
      <c r="T19" s="207" t="s">
        <v>281</v>
      </c>
      <c r="U19" s="210" t="s">
        <v>306</v>
      </c>
      <c r="V19" s="221"/>
      <c r="W19" s="205" t="s">
        <v>291</v>
      </c>
      <c r="X19" s="205" t="s">
        <v>291</v>
      </c>
      <c r="Y19" s="205" t="s">
        <v>291</v>
      </c>
      <c r="Z19" s="205" t="s">
        <v>291</v>
      </c>
      <c r="AA19" s="206"/>
      <c r="AB19" s="202">
        <v>0</v>
      </c>
      <c r="AC19" s="202">
        <v>0</v>
      </c>
      <c r="AD19" s="202">
        <v>0</v>
      </c>
      <c r="AE19" s="202">
        <v>0</v>
      </c>
      <c r="AF19" s="202">
        <v>0</v>
      </c>
      <c r="AG19" s="202">
        <v>0</v>
      </c>
    </row>
    <row r="20" spans="1:33" s="179" customFormat="1" ht="202.5" customHeight="1" x14ac:dyDescent="0.2">
      <c r="A20" s="193" t="s">
        <v>272</v>
      </c>
      <c r="B20" s="194" t="str">
        <f>Narrative!$A$99&amp;" "&amp;Narrative!$C$99</f>
        <v>FCR 5.00 Period-End Close</v>
      </c>
      <c r="C20" s="195" t="s">
        <v>51</v>
      </c>
      <c r="D20" s="196" t="s">
        <v>305</v>
      </c>
      <c r="E20" s="212" t="s">
        <v>274</v>
      </c>
      <c r="F20" s="212" t="s">
        <v>274</v>
      </c>
      <c r="G20" s="212" t="s">
        <v>274</v>
      </c>
      <c r="H20" s="212"/>
      <c r="I20" s="222"/>
      <c r="J20" s="193" t="str">
        <f>Narrative!A105</f>
        <v>FCR 5.05</v>
      </c>
      <c r="K20" s="199" t="str">
        <f>VLOOKUP($J20,Narrative!$A:$J,3,0)</f>
        <v>Quarterly, the Corporate Controller reviews and approves the operating expense allocation journal entry.  The review includes agreeing the journal entry to the allocation percentages provided by Finance, allocable costs to general ledger expense report, and verifying the mathematical accuracy of the calculation.  The review and approval is evidenced via sign-off on the journal entry.</v>
      </c>
      <c r="L20" s="200">
        <f>VLOOKUP($J20,Narrative!$A:$J,8,0)</f>
        <v>42186</v>
      </c>
      <c r="M20" s="193" t="str">
        <f>VLOOKUP($J20,Narrative!$A:$J,10,0)</f>
        <v>Corporate Controller</v>
      </c>
      <c r="N20" s="193" t="s">
        <v>297</v>
      </c>
      <c r="O20" s="193" t="s">
        <v>276</v>
      </c>
      <c r="P20" s="193" t="s">
        <v>294</v>
      </c>
      <c r="Q20" s="193" t="s">
        <v>278</v>
      </c>
      <c r="R20" s="193" t="s">
        <v>281</v>
      </c>
      <c r="S20" s="201" t="s">
        <v>280</v>
      </c>
      <c r="T20" s="202" t="s">
        <v>281</v>
      </c>
      <c r="U20" s="203" t="s">
        <v>307</v>
      </c>
      <c r="V20" s="204"/>
      <c r="W20" s="205" t="str">
        <f>VLOOKUP(J20,'WT (WT)'!$A$8:$K$24,11,0)</f>
        <v>Effective</v>
      </c>
      <c r="X20" s="205" t="str">
        <f>'FCR 5.05 (WP)'!D71</f>
        <v>Effective</v>
      </c>
      <c r="Y20" s="205" t="str">
        <f>'FCR 5.05 (WP)'!F71</f>
        <v>TBD</v>
      </c>
      <c r="Z20" s="205" t="str">
        <f>'FCR 5.05 (WP)'!H71</f>
        <v>TBD</v>
      </c>
      <c r="AA20" s="206"/>
      <c r="AB20" s="202">
        <v>2</v>
      </c>
      <c r="AC20" s="202">
        <f>AB20*2</f>
        <v>4</v>
      </c>
      <c r="AD20" s="202">
        <v>2</v>
      </c>
      <c r="AE20" s="202">
        <v>1</v>
      </c>
      <c r="AF20" s="202">
        <v>0</v>
      </c>
      <c r="AG20" s="202">
        <v>1</v>
      </c>
    </row>
    <row r="21" spans="1:33" s="179" customFormat="1" ht="202.5" customHeight="1" x14ac:dyDescent="0.2">
      <c r="A21" s="193" t="s">
        <v>272</v>
      </c>
      <c r="B21" s="194" t="str">
        <f>Narrative!$A$99&amp;" "&amp;Narrative!$C$99</f>
        <v>FCR 5.00 Period-End Close</v>
      </c>
      <c r="C21" s="195" t="s">
        <v>51</v>
      </c>
      <c r="D21" s="211" t="s">
        <v>305</v>
      </c>
      <c r="E21" s="197" t="s">
        <v>274</v>
      </c>
      <c r="F21" s="197" t="s">
        <v>274</v>
      </c>
      <c r="G21" s="197" t="s">
        <v>274</v>
      </c>
      <c r="H21" s="197" t="s">
        <v>274</v>
      </c>
      <c r="I21" s="218"/>
      <c r="J21" s="193" t="str">
        <f>Narrative!$A$108</f>
        <v>FCR 5.08</v>
      </c>
      <c r="K21" s="199" t="str">
        <f>VLOOKUP($J21,Narrative!$A:$J,3,0)</f>
        <v>Monthly, the Corporate Controller reviews and approves the financial statements and trial balance.  The review includes ensuring total assets agree between the trial balance and the Balance Sheet, net loss for the period on the P&amp;L agrees to the difference in retained earnings on the Balance Sheet and total OpEx on the P&amp;L agreed to the trial balance.  Any adjustments found during the review are investigated and corrected.   The review and approval is evidenced via email.</v>
      </c>
      <c r="L21" s="200" t="str">
        <f>VLOOKUP($J21,Narrative!$A:$J,8,0)</f>
        <v>Q3 2018</v>
      </c>
      <c r="M21" s="193" t="str">
        <f>VLOOKUP($J21,Narrative!$A:$J,10,0)</f>
        <v>Corporate Controller</v>
      </c>
      <c r="N21" s="193" t="s">
        <v>293</v>
      </c>
      <c r="O21" s="193" t="s">
        <v>289</v>
      </c>
      <c r="P21" s="193" t="s">
        <v>294</v>
      </c>
      <c r="Q21" s="193" t="s">
        <v>278</v>
      </c>
      <c r="R21" s="193" t="s">
        <v>281</v>
      </c>
      <c r="S21" s="201" t="s">
        <v>280</v>
      </c>
      <c r="T21" s="202" t="s">
        <v>281</v>
      </c>
      <c r="U21" s="210" t="s">
        <v>306</v>
      </c>
      <c r="V21" s="204"/>
      <c r="W21" s="205" t="s">
        <v>291</v>
      </c>
      <c r="X21" s="205" t="s">
        <v>291</v>
      </c>
      <c r="Y21" s="205" t="s">
        <v>291</v>
      </c>
      <c r="Z21" s="205" t="s">
        <v>291</v>
      </c>
      <c r="AA21" s="206"/>
      <c r="AB21" s="202">
        <v>0</v>
      </c>
      <c r="AC21" s="202">
        <v>0</v>
      </c>
      <c r="AD21" s="202">
        <v>0</v>
      </c>
      <c r="AE21" s="202">
        <v>0</v>
      </c>
      <c r="AF21" s="202">
        <v>0</v>
      </c>
      <c r="AG21" s="202">
        <v>0</v>
      </c>
    </row>
    <row r="22" spans="1:33" s="179" customFormat="1" ht="202.5" customHeight="1" x14ac:dyDescent="0.2">
      <c r="A22" s="193" t="s">
        <v>272</v>
      </c>
      <c r="B22" s="194" t="str">
        <f>Narrative!$A$99&amp;" "&amp;Narrative!$C$99</f>
        <v>FCR 5.00 Period-End Close</v>
      </c>
      <c r="C22" s="195" t="s">
        <v>51</v>
      </c>
      <c r="D22" s="211" t="s">
        <v>308</v>
      </c>
      <c r="E22" s="212" t="s">
        <v>274</v>
      </c>
      <c r="F22" s="212" t="s">
        <v>274</v>
      </c>
      <c r="G22" s="223"/>
      <c r="H22" s="212" t="s">
        <v>274</v>
      </c>
      <c r="I22" s="223" t="s">
        <v>274</v>
      </c>
      <c r="J22" s="193" t="str">
        <f>Narrative!$A$110</f>
        <v>FCR 5.10</v>
      </c>
      <c r="K22" s="199" t="str">
        <f>VLOOKUP($J22,Narrative!$A:$J,3,0)</f>
        <v>On a quarterly basis, the Senior Manager, SEC &amp; SOX or delegate prepares the Actual versus Actual (AvA) flux analysis for both the balance sheet and P&amp;L.  The AvA analyzes changes quarter over quarter, current quarter versus the last quarter, and year over year.   All variances greater than $100k and 10% are investigated and explained.  Each AvA flux analysis is reviewed by someone other than the preparer to ensure that all variances are properly explained, along with looking at any variances noted in Finance's BvA to ensure there are no other variances to address.   The AvA is signed off by the reviewer, either the Corporate Controller or VP of Finance.</v>
      </c>
      <c r="L22" s="200" t="str">
        <f>VLOOKUP($J22,Narrative!$A:$J,8,0)</f>
        <v>Q1 2019</v>
      </c>
      <c r="M22" s="193" t="str">
        <f>VLOOKUP($J22,Narrative!$A:$J,10,0)</f>
        <v>Corporate Controller/
VP Finance</v>
      </c>
      <c r="N22" s="193" t="s">
        <v>297</v>
      </c>
      <c r="O22" s="193" t="s">
        <v>276</v>
      </c>
      <c r="P22" s="193" t="s">
        <v>294</v>
      </c>
      <c r="Q22" s="193" t="s">
        <v>278</v>
      </c>
      <c r="R22" s="193" t="s">
        <v>281</v>
      </c>
      <c r="S22" s="201" t="s">
        <v>284</v>
      </c>
      <c r="T22" s="202" t="s">
        <v>279</v>
      </c>
      <c r="U22" s="224" t="s">
        <v>309</v>
      </c>
      <c r="V22" s="204"/>
      <c r="W22" s="205" t="str">
        <f>VLOOKUP(J22,'WT (WT)'!$A$8:$K$24,11,0)</f>
        <v>Effective</v>
      </c>
      <c r="X22" s="205" t="str">
        <f>'FCR 5.10 (WP)'!C72</f>
        <v>Effective</v>
      </c>
      <c r="Y22" s="205" t="str">
        <f>'FCR 5.10 (WP)'!E72</f>
        <v>TBD</v>
      </c>
      <c r="Z22" s="205" t="str">
        <f>'FCR 5.10 (WP)'!G72</f>
        <v>TBD</v>
      </c>
      <c r="AA22" s="206"/>
      <c r="AB22" s="202">
        <v>2</v>
      </c>
      <c r="AC22" s="202">
        <f>AB22*2</f>
        <v>4</v>
      </c>
      <c r="AD22" s="202">
        <v>2</v>
      </c>
      <c r="AE22" s="202">
        <v>1</v>
      </c>
      <c r="AF22" s="202">
        <v>0</v>
      </c>
      <c r="AG22" s="202">
        <v>1</v>
      </c>
    </row>
    <row r="23" spans="1:33" s="179" customFormat="1" ht="202.5" customHeight="1" x14ac:dyDescent="0.2">
      <c r="A23" s="193" t="s">
        <v>272</v>
      </c>
      <c r="B23" s="194" t="str">
        <f>Narrative!$A$99&amp;" "&amp;Narrative!$C$99</f>
        <v>FCR 5.00 Period-End Close</v>
      </c>
      <c r="C23" s="195" t="s">
        <v>51</v>
      </c>
      <c r="D23" s="211" t="s">
        <v>310</v>
      </c>
      <c r="E23" s="212" t="s">
        <v>274</v>
      </c>
      <c r="F23" s="212" t="s">
        <v>274</v>
      </c>
      <c r="G23" s="222" t="s">
        <v>274</v>
      </c>
      <c r="H23" s="212"/>
      <c r="I23" s="222"/>
      <c r="J23" s="193" t="str">
        <f>Narrative!$A$111</f>
        <v>FCR 5.11</v>
      </c>
      <c r="K23" s="199" t="str">
        <f>VLOOKUP($J23,Narrative!$A:$J,3,0)</f>
        <v>Transactions that do not occur in the Company’s normal course of business are considered unusual or non-routine transactions.  When a transaction has been identified as a material and unusual or non-routine transaction, a memo is prepared by the External Consultant, or the Senior Manager, SEC &amp; SOX or designate. The memo documents the nature of the transaction and the prescribed accounting treatment. Upon completion of the memo, it is reviewed and approved by the Corporate Controller, as evidenced by sign off and date.  The review is inclusive of the accounting treatment associated with the transaction, as well as the related tax and any possible specific cash flow and/or related party consideration that must be given to the transaction.</v>
      </c>
      <c r="L23" s="200">
        <f>VLOOKUP($J23,Narrative!$A:$J,8,0)</f>
        <v>42186</v>
      </c>
      <c r="M23" s="193" t="str">
        <f>VLOOKUP($J23,Narrative!$A:$J,10,0)</f>
        <v>Corporate Controller</v>
      </c>
      <c r="N23" s="193" t="s">
        <v>275</v>
      </c>
      <c r="O23" s="193" t="s">
        <v>276</v>
      </c>
      <c r="P23" s="193" t="s">
        <v>277</v>
      </c>
      <c r="Q23" s="193" t="s">
        <v>278</v>
      </c>
      <c r="R23" s="193" t="s">
        <v>281</v>
      </c>
      <c r="S23" s="201" t="s">
        <v>284</v>
      </c>
      <c r="T23" s="202" t="s">
        <v>279</v>
      </c>
      <c r="U23" s="216" t="s">
        <v>311</v>
      </c>
      <c r="V23" s="204"/>
      <c r="W23" s="205" t="str">
        <f>VLOOKUP(J23,'WT (WT)'!$A$8:$K$24,11,0)</f>
        <v>Effective</v>
      </c>
      <c r="X23" s="205" t="str">
        <f>'FCR 5.11 (WP)'!D73</f>
        <v>Effective</v>
      </c>
      <c r="Y23" s="205" t="str">
        <f>'FCR 5.11 (WP)'!F73</f>
        <v>TBD</v>
      </c>
      <c r="Z23" s="205" t="str">
        <f>'FCR 5.11 (WP)'!H73</f>
        <v>TBD</v>
      </c>
      <c r="AA23" s="206"/>
      <c r="AB23" s="202">
        <v>1</v>
      </c>
      <c r="AC23" s="202">
        <f>AB23*2</f>
        <v>2</v>
      </c>
      <c r="AD23" s="202">
        <v>2</v>
      </c>
      <c r="AE23" s="202">
        <v>1</v>
      </c>
      <c r="AF23" s="202">
        <v>0</v>
      </c>
      <c r="AG23" s="202">
        <v>1</v>
      </c>
    </row>
    <row r="24" spans="1:33" s="179" customFormat="1" ht="202.5" customHeight="1" x14ac:dyDescent="0.2">
      <c r="A24" s="193" t="s">
        <v>272</v>
      </c>
      <c r="B24" s="194" t="str">
        <f>Narrative!$A$99&amp;" "&amp;Narrative!$C$99</f>
        <v>FCR 5.00 Period-End Close</v>
      </c>
      <c r="C24" s="195" t="s">
        <v>51</v>
      </c>
      <c r="D24" s="196" t="s">
        <v>312</v>
      </c>
      <c r="E24" s="212"/>
      <c r="F24" s="212" t="s">
        <v>274</v>
      </c>
      <c r="G24" s="212"/>
      <c r="H24" s="223" t="s">
        <v>274</v>
      </c>
      <c r="I24" s="223" t="s">
        <v>274</v>
      </c>
      <c r="J24" s="193" t="str">
        <f>Narrative!$A$112</f>
        <v>FCR 5.12</v>
      </c>
      <c r="K24" s="199" t="str">
        <f>VLOOKUP($J24,Narrative!$A:$J,3,0)</f>
        <v>Monthly, accounting periods in QAD are locked after the month-end close is completed. Access to unlock closed periods in QAD is limited to the Accounting Manager.</v>
      </c>
      <c r="L24" s="200">
        <f>VLOOKUP($J24,Narrative!$A:$J,8,0)</f>
        <v>42186</v>
      </c>
      <c r="M24" s="193" t="str">
        <f>VLOOKUP($J24,Narrative!$A:$J,10,0)</f>
        <v>Accounting Manager</v>
      </c>
      <c r="N24" s="193" t="s">
        <v>293</v>
      </c>
      <c r="O24" s="208" t="s">
        <v>289</v>
      </c>
      <c r="P24" s="193" t="s">
        <v>290</v>
      </c>
      <c r="Q24" s="193" t="s">
        <v>313</v>
      </c>
      <c r="R24" s="193" t="s">
        <v>279</v>
      </c>
      <c r="S24" s="201" t="s">
        <v>280</v>
      </c>
      <c r="T24" s="202" t="s">
        <v>281</v>
      </c>
      <c r="U24" s="210" t="s">
        <v>306</v>
      </c>
      <c r="V24" s="204"/>
      <c r="W24" s="205" t="s">
        <v>291</v>
      </c>
      <c r="X24" s="205" t="s">
        <v>291</v>
      </c>
      <c r="Y24" s="205" t="s">
        <v>291</v>
      </c>
      <c r="Z24" s="205" t="s">
        <v>291</v>
      </c>
      <c r="AA24" s="206"/>
      <c r="AB24" s="202">
        <v>0</v>
      </c>
      <c r="AC24" s="202">
        <v>0</v>
      </c>
      <c r="AD24" s="202">
        <v>0</v>
      </c>
      <c r="AE24" s="202">
        <v>0</v>
      </c>
      <c r="AF24" s="202">
        <v>0</v>
      </c>
      <c r="AG24" s="202">
        <v>0</v>
      </c>
    </row>
    <row r="25" spans="1:33" s="179" customFormat="1" ht="202.5" customHeight="1" x14ac:dyDescent="0.2">
      <c r="A25" s="193" t="s">
        <v>272</v>
      </c>
      <c r="B25" s="194" t="str">
        <f>Narrative!$A$116&amp;" "&amp;Narrative!$C$116</f>
        <v>FCR 6.00 External Reporting</v>
      </c>
      <c r="C25" s="195" t="s">
        <v>51</v>
      </c>
      <c r="D25" s="196" t="s">
        <v>312</v>
      </c>
      <c r="E25" s="212" t="s">
        <v>274</v>
      </c>
      <c r="F25" s="212" t="s">
        <v>274</v>
      </c>
      <c r="G25" s="223" t="s">
        <v>274</v>
      </c>
      <c r="H25" s="223" t="s">
        <v>274</v>
      </c>
      <c r="I25" s="223" t="s">
        <v>274</v>
      </c>
      <c r="J25" s="193" t="str">
        <f>Narrative!A121</f>
        <v>FCR 6.03</v>
      </c>
      <c r="K25" s="199" t="str">
        <f>VLOOKUP($J25,Narrative!$A:$J,3,0)</f>
        <v xml:space="preserve">Quarterly, the Reporting Calendar is reviewed and approved by the Corporate Controller to ensure all filings are in compliance with SEC requirements. When applicable, review and approval by Legal may be obtained as well. </v>
      </c>
      <c r="L25" s="200">
        <f>VLOOKUP($J25,Narrative!$A:$J,8,0)</f>
        <v>42186</v>
      </c>
      <c r="M25" s="193" t="str">
        <f>VLOOKUP($J25,Narrative!$A:$J,10,0)</f>
        <v>Corporate Controller/
Legal</v>
      </c>
      <c r="N25" s="193" t="s">
        <v>297</v>
      </c>
      <c r="O25" s="208" t="s">
        <v>289</v>
      </c>
      <c r="P25" s="193" t="s">
        <v>277</v>
      </c>
      <c r="Q25" s="193" t="s">
        <v>278</v>
      </c>
      <c r="R25" s="193" t="s">
        <v>281</v>
      </c>
      <c r="S25" s="201" t="s">
        <v>280</v>
      </c>
      <c r="T25" s="202" t="s">
        <v>281</v>
      </c>
      <c r="U25" s="210" t="s">
        <v>306</v>
      </c>
      <c r="V25" s="204"/>
      <c r="W25" s="205" t="s">
        <v>291</v>
      </c>
      <c r="X25" s="205" t="s">
        <v>291</v>
      </c>
      <c r="Y25" s="205" t="s">
        <v>291</v>
      </c>
      <c r="Z25" s="205" t="s">
        <v>291</v>
      </c>
      <c r="AA25" s="206"/>
      <c r="AB25" s="202">
        <v>0</v>
      </c>
      <c r="AC25" s="202">
        <v>0</v>
      </c>
      <c r="AD25" s="202">
        <v>0</v>
      </c>
      <c r="AE25" s="202">
        <v>0</v>
      </c>
      <c r="AF25" s="202">
        <v>0</v>
      </c>
      <c r="AG25" s="202">
        <v>0</v>
      </c>
    </row>
    <row r="26" spans="1:33" s="179" customFormat="1" ht="202.5" customHeight="1" x14ac:dyDescent="0.2">
      <c r="A26" s="193" t="s">
        <v>272</v>
      </c>
      <c r="B26" s="194" t="str">
        <f>Narrative!$A$116&amp;" "&amp;Narrative!$C$116</f>
        <v>FCR 6.00 External Reporting</v>
      </c>
      <c r="C26" s="195" t="s">
        <v>51</v>
      </c>
      <c r="D26" s="196" t="s">
        <v>312</v>
      </c>
      <c r="E26" s="212" t="s">
        <v>274</v>
      </c>
      <c r="F26" s="212" t="s">
        <v>274</v>
      </c>
      <c r="G26" s="223" t="s">
        <v>274</v>
      </c>
      <c r="H26" s="223"/>
      <c r="I26" s="223"/>
      <c r="J26" s="193" t="str">
        <f>Narrative!A122</f>
        <v>FCR 6.04</v>
      </c>
      <c r="K26" s="199" t="str">
        <f>VLOOKUP($J26,Narrative!$A:$J,3,0)</f>
        <v>Before preparing the quarter end 10Q schedules, the Senior Analyst SEC &amp; SOX or Senior Manager, SEC &amp; SOX, who does not have access to either post journal entries or re-open accounting periods, validates the beginning balance to ensure no unauthorized changes were made to the prior period's financials data.  The ending balance of prior quarter in the prior 10Q file is compared to the beginning per QAD.  Any differences are followed up on.  The review is evidenced by sign off and date of the tab containing the tie out.</v>
      </c>
      <c r="L26" s="200" t="str">
        <f>VLOOKUP($J26,Narrative!$A:$J,8,0)</f>
        <v>Q1 2019</v>
      </c>
      <c r="M26" s="193" t="str">
        <f>VLOOKUP($J26,Narrative!$A:$J,10,0)</f>
        <v>Senior Manager, SEC &amp; SOX</v>
      </c>
      <c r="N26" s="193" t="s">
        <v>297</v>
      </c>
      <c r="O26" s="193" t="s">
        <v>276</v>
      </c>
      <c r="P26" s="193" t="s">
        <v>294</v>
      </c>
      <c r="Q26" s="193" t="s">
        <v>278</v>
      </c>
      <c r="R26" s="193" t="s">
        <v>281</v>
      </c>
      <c r="S26" s="201" t="s">
        <v>280</v>
      </c>
      <c r="T26" s="202" t="s">
        <v>281</v>
      </c>
      <c r="U26" s="203" t="s">
        <v>314</v>
      </c>
      <c r="V26" s="204"/>
      <c r="W26" s="205" t="str">
        <f>VLOOKUP(J26,'WT (WT)'!$A$8:$K$24,11,0)</f>
        <v>Effective</v>
      </c>
      <c r="X26" s="205" t="str">
        <f>'FCR 6.04 (WP)'!C75</f>
        <v>Effective</v>
      </c>
      <c r="Y26" s="205" t="str">
        <f>'FCR 6.04 (WP)'!E75</f>
        <v>TBD</v>
      </c>
      <c r="Z26" s="205" t="str">
        <f>'FCR 6.04 (WP)'!G75</f>
        <v>TBD</v>
      </c>
      <c r="AA26" s="206"/>
      <c r="AB26" s="202">
        <v>2</v>
      </c>
      <c r="AC26" s="202">
        <f>AB26*2</f>
        <v>4</v>
      </c>
      <c r="AD26" s="202">
        <v>2</v>
      </c>
      <c r="AE26" s="202">
        <v>1</v>
      </c>
      <c r="AF26" s="202">
        <v>0</v>
      </c>
      <c r="AG26" s="202">
        <v>1</v>
      </c>
    </row>
    <row r="27" spans="1:33" s="179" customFormat="1" ht="202.5" customHeight="1" x14ac:dyDescent="0.2">
      <c r="A27" s="193" t="s">
        <v>272</v>
      </c>
      <c r="B27" s="194" t="str">
        <f>Narrative!$A$116&amp;" "&amp;Narrative!$C$116</f>
        <v>FCR 6.00 External Reporting</v>
      </c>
      <c r="C27" s="195" t="s">
        <v>51</v>
      </c>
      <c r="D27" s="196" t="s">
        <v>305</v>
      </c>
      <c r="E27" s="212" t="s">
        <v>274</v>
      </c>
      <c r="F27" s="212" t="s">
        <v>274</v>
      </c>
      <c r="G27" s="223" t="s">
        <v>274</v>
      </c>
      <c r="H27" s="223"/>
      <c r="I27" s="223"/>
      <c r="J27" s="193" t="str">
        <f>Narrative!A125</f>
        <v>FCR 6.07</v>
      </c>
      <c r="K27" s="199" t="str">
        <f>VLOOKUP($J27,Narrative!$A:$J,3,0)</f>
        <v>Quarterly, the Corporate Controller performs a final review and approval of the Cash Flow Statement to ensure the activities are in line with expectations.</v>
      </c>
      <c r="L27" s="200">
        <f>VLOOKUP($J27,Narrative!$A:$J,8,0)</f>
        <v>42186</v>
      </c>
      <c r="M27" s="193" t="str">
        <f>VLOOKUP($J27,Narrative!$A:$J,10,0)</f>
        <v>Corporate Controller</v>
      </c>
      <c r="N27" s="193" t="s">
        <v>297</v>
      </c>
      <c r="O27" s="193" t="s">
        <v>276</v>
      </c>
      <c r="P27" s="193" t="s">
        <v>294</v>
      </c>
      <c r="Q27" s="193" t="s">
        <v>278</v>
      </c>
      <c r="R27" s="193" t="s">
        <v>281</v>
      </c>
      <c r="S27" s="201" t="s">
        <v>280</v>
      </c>
      <c r="T27" s="202" t="s">
        <v>281</v>
      </c>
      <c r="U27" s="203" t="s">
        <v>315</v>
      </c>
      <c r="V27" s="204"/>
      <c r="W27" s="205" t="str">
        <f>VLOOKUP(J27,'WT (WT)'!$A$8:$K$24,11,0)</f>
        <v>Effective</v>
      </c>
      <c r="X27" s="205" t="str">
        <f>'FCR 6.07 (WP)'!C67</f>
        <v>Effective</v>
      </c>
      <c r="Y27" s="205" t="str">
        <f>'FCR 6.07 (WP)'!E67</f>
        <v>TBD</v>
      </c>
      <c r="Z27" s="205" t="str">
        <f>'FCR 6.07 (WP)'!G67</f>
        <v>TBD</v>
      </c>
      <c r="AA27" s="206"/>
      <c r="AB27" s="202">
        <v>2</v>
      </c>
      <c r="AC27" s="202">
        <f>AB27*2</f>
        <v>4</v>
      </c>
      <c r="AD27" s="202">
        <v>2</v>
      </c>
      <c r="AE27" s="202">
        <v>1</v>
      </c>
      <c r="AF27" s="202">
        <v>0</v>
      </c>
      <c r="AG27" s="202">
        <v>1</v>
      </c>
    </row>
    <row r="28" spans="1:33" s="179" customFormat="1" ht="202.5" customHeight="1" x14ac:dyDescent="0.2">
      <c r="A28" s="193" t="s">
        <v>272</v>
      </c>
      <c r="B28" s="194" t="str">
        <f>Narrative!$A$116&amp;" "&amp;Narrative!$C$116</f>
        <v>FCR 6.00 External Reporting</v>
      </c>
      <c r="C28" s="195" t="s">
        <v>51</v>
      </c>
      <c r="D28" s="196" t="s">
        <v>305</v>
      </c>
      <c r="E28" s="212" t="s">
        <v>274</v>
      </c>
      <c r="F28" s="212" t="s">
        <v>274</v>
      </c>
      <c r="G28" s="223" t="s">
        <v>274</v>
      </c>
      <c r="H28" s="223" t="s">
        <v>274</v>
      </c>
      <c r="I28" s="223"/>
      <c r="J28" s="193" t="str">
        <f>Narrative!A128</f>
        <v>FCR 6.09</v>
      </c>
      <c r="K28" s="199" t="str">
        <f>VLOOKUP($J28,Narrative!$A:$J,3,0)</f>
        <v>Quarterly, the completed GAAP Disclosure Checklist is reviewed by Senior Manager SEC &amp; SOX and Corporate Controller to ensure the disclosures are complete.  The GAAP Disclosure Checklist is reviewed against the Draft Form 10Q/10K to verify the completeness of the disclosures.  The review also includes ensuring all new relevant accounting pronouncements have been incorporated and that all significant transactions have been properly disclosed.  Review and approval is evidenced by email.</v>
      </c>
      <c r="L28" s="200">
        <f>VLOOKUP($J28,Narrative!$A:$J,8,0)</f>
        <v>42186</v>
      </c>
      <c r="M28" s="193" t="str">
        <f>VLOOKUP($J28,Narrative!$A:$J,10,0)</f>
        <v>Senior Manager SEC &amp; SOX/ Corporate
Controller</v>
      </c>
      <c r="N28" s="193" t="s">
        <v>297</v>
      </c>
      <c r="O28" s="193" t="s">
        <v>276</v>
      </c>
      <c r="P28" s="193" t="s">
        <v>294</v>
      </c>
      <c r="Q28" s="193" t="s">
        <v>278</v>
      </c>
      <c r="R28" s="193" t="s">
        <v>281</v>
      </c>
      <c r="S28" s="201" t="s">
        <v>280</v>
      </c>
      <c r="T28" s="202" t="s">
        <v>281</v>
      </c>
      <c r="U28" s="203" t="s">
        <v>316</v>
      </c>
      <c r="V28" s="204"/>
      <c r="W28" s="205" t="str">
        <f>VLOOKUP(J28,'WT (WT)'!$A$8:$K$24,11,0)</f>
        <v>Effective</v>
      </c>
      <c r="X28" s="205" t="str">
        <f>'FCR 6.09 (WP)'!C69</f>
        <v>Effective</v>
      </c>
      <c r="Y28" s="205" t="str">
        <f>'FCR 6.09 (WP)'!E69</f>
        <v>TBD</v>
      </c>
      <c r="Z28" s="205" t="str">
        <f>'FCR 6.09 (WP)'!G69</f>
        <v>TBD</v>
      </c>
      <c r="AA28" s="206"/>
      <c r="AB28" s="202">
        <v>2</v>
      </c>
      <c r="AC28" s="202">
        <f>AB28*2</f>
        <v>4</v>
      </c>
      <c r="AD28" s="202">
        <v>2</v>
      </c>
      <c r="AE28" s="202">
        <v>1</v>
      </c>
      <c r="AF28" s="202">
        <v>0</v>
      </c>
      <c r="AG28" s="202">
        <v>1</v>
      </c>
    </row>
    <row r="29" spans="1:33" s="179" customFormat="1" ht="202.5" customHeight="1" x14ac:dyDescent="0.2">
      <c r="A29" s="193" t="s">
        <v>272</v>
      </c>
      <c r="B29" s="194" t="str">
        <f>Narrative!$A$116&amp;" "&amp;Narrative!$C$116</f>
        <v>FCR 6.00 External Reporting</v>
      </c>
      <c r="C29" s="195" t="s">
        <v>51</v>
      </c>
      <c r="D29" s="196" t="s">
        <v>305</v>
      </c>
      <c r="E29" s="212" t="s">
        <v>274</v>
      </c>
      <c r="F29" s="212" t="s">
        <v>274</v>
      </c>
      <c r="G29" s="223" t="s">
        <v>274</v>
      </c>
      <c r="H29" s="223" t="s">
        <v>274</v>
      </c>
      <c r="I29" s="223" t="s">
        <v>274</v>
      </c>
      <c r="J29" s="193" t="str">
        <f>Narrative!A130</f>
        <v>FCR 6.11</v>
      </c>
      <c r="K29" s="199" t="str">
        <f>VLOOKUP($J29,Narrative!$A:$J,3,0)</f>
        <v>Quarterly, the Senior Manager, SEC &amp; SOX reviews and approves the tied out 10Q/10K before it is included in the relevant SEC filings.  Review includes verifying the tie-out was completed and accurate specific to all financial statements, footnotes, significant transactions, and related MD&amp;A items.  Prior version(s) of the 10Q/10K drafts, including review comments, are saved as evidence of review.</v>
      </c>
      <c r="L29" s="200">
        <f>VLOOKUP($J29,Narrative!$A:$J,8,0)</f>
        <v>42186</v>
      </c>
      <c r="M29" s="193" t="str">
        <f>VLOOKUP($J29,Narrative!$A:$J,10,0)</f>
        <v>Senior Manager, SEC &amp; SOX</v>
      </c>
      <c r="N29" s="193" t="s">
        <v>297</v>
      </c>
      <c r="O29" s="193" t="s">
        <v>276</v>
      </c>
      <c r="P29" s="193" t="s">
        <v>294</v>
      </c>
      <c r="Q29" s="193" t="s">
        <v>278</v>
      </c>
      <c r="R29" s="193" t="s">
        <v>281</v>
      </c>
      <c r="S29" s="201" t="s">
        <v>280</v>
      </c>
      <c r="T29" s="202" t="s">
        <v>281</v>
      </c>
      <c r="U29" s="203" t="s">
        <v>317</v>
      </c>
      <c r="V29" s="204"/>
      <c r="W29" s="205" t="str">
        <f>VLOOKUP(J29,'WT (WT)'!$A$8:$K$24,11,0)</f>
        <v>Effective</v>
      </c>
      <c r="X29" s="205" t="str">
        <f>'FCR 6.11 (WP)'!C70</f>
        <v>Effective</v>
      </c>
      <c r="Y29" s="205" t="str">
        <f>'FCR 6.11 (WP)'!E70</f>
        <v>TBD</v>
      </c>
      <c r="Z29" s="205" t="str">
        <f>'FCR 6.11 (WP)'!G70</f>
        <v>TBD</v>
      </c>
      <c r="AA29" s="206"/>
      <c r="AB29" s="202">
        <v>2</v>
      </c>
      <c r="AC29" s="202">
        <f>AB29*2</f>
        <v>4</v>
      </c>
      <c r="AD29" s="202">
        <v>2</v>
      </c>
      <c r="AE29" s="202">
        <v>1</v>
      </c>
      <c r="AF29" s="202">
        <v>0</v>
      </c>
      <c r="AG29" s="202">
        <v>1</v>
      </c>
    </row>
  </sheetData>
  <sheetProtection algorithmName="SHA-512" hashValue="8SHKw2x8YabvHMUcz1q58tlQA+t9XwRDVZzS6I247N79Ag9//w5DunWwHlal2yMtyCWGPNkyzVjzffYStuHlew==" saltValue="oxCRZBX2gH5W3wMA21MnLg==" spinCount="100000" sheet="1" objects="1" scenarios="1"/>
  <autoFilter ref="A9:AG29"/>
  <mergeCells count="10">
    <mergeCell ref="E7:I8"/>
    <mergeCell ref="W8:Z8"/>
    <mergeCell ref="AB8:AG8"/>
    <mergeCell ref="W3:Z3"/>
    <mergeCell ref="AB3:AG3"/>
    <mergeCell ref="W4:Z4"/>
    <mergeCell ref="AB4:AG4"/>
    <mergeCell ref="W5:Z6"/>
    <mergeCell ref="AB5:AG5"/>
    <mergeCell ref="AB6:AG6"/>
  </mergeCells>
  <conditionalFormatting sqref="X9:Z9 AB8">
    <cfRule type="cellIs" dxfId="315" priority="10" operator="equal">
      <formula>"ineffective"</formula>
    </cfRule>
  </conditionalFormatting>
  <conditionalFormatting sqref="AE9:AG9">
    <cfRule type="cellIs" dxfId="314" priority="9" operator="equal">
      <formula>"ineffective"</formula>
    </cfRule>
  </conditionalFormatting>
  <conditionalFormatting sqref="W8">
    <cfRule type="cellIs" dxfId="313" priority="8" operator="equal">
      <formula>"ineffective"</formula>
    </cfRule>
  </conditionalFormatting>
  <conditionalFormatting sqref="W10:Z13 W15:Z29">
    <cfRule type="containsText" dxfId="312" priority="7" operator="containsText" text="TBD">
      <formula>NOT(ISERROR(SEARCH("TBD",W10)))</formula>
    </cfRule>
  </conditionalFormatting>
  <conditionalFormatting sqref="W14:Z14">
    <cfRule type="containsText" dxfId="311" priority="6" operator="containsText" text="TBD">
      <formula>NOT(ISERROR(SEARCH("TBD",W14)))</formula>
    </cfRule>
  </conditionalFormatting>
  <conditionalFormatting sqref="W10:Z29">
    <cfRule type="containsText" dxfId="310" priority="1" operator="containsText" text="Non-Key">
      <formula>NOT(ISERROR(SEARCH("Non-Key",W10)))</formula>
    </cfRule>
    <cfRule type="containsText" dxfId="309" priority="2" operator="containsText" text="Ineffective">
      <formula>NOT(ISERROR(SEARCH("Ineffective",W10)))</formula>
    </cfRule>
    <cfRule type="containsText" dxfId="308" priority="3" operator="containsText" text="Inconclusive">
      <formula>NOT(ISERROR(SEARCH("Inconclusive",W10)))</formula>
    </cfRule>
    <cfRule type="containsText" dxfId="307" priority="4" operator="containsText" text="Q4">
      <formula>NOT(ISERROR(SEARCH("Q4",W10)))</formula>
    </cfRule>
    <cfRule type="containsText" dxfId="306" priority="5" operator="containsText" text="Effective">
      <formula>NOT(ISERROR(SEARCH("Effective",W10)))</formula>
    </cfRule>
  </conditionalFormatting>
  <pageMargins left="0.2" right="0.2" top="0.75" bottom="0.75" header="0.3" footer="0.3"/>
  <pageSetup scale="48" fitToWidth="2" fitToHeight="6" orientation="landscape" r:id="rId1"/>
  <headerFooter>
    <oddHeader>&amp;F</oddHeader>
    <oddFooter>&amp;LRisk Control Matrix (RCM)&amp;RPage &amp;Pof &amp;N</oddFooter>
  </headerFooter>
  <drawing r:id="rId2"/>
  <legacyDrawing r:id="rId3"/>
  <controls>
    <mc:AlternateContent xmlns:mc="http://schemas.openxmlformats.org/markup-compatibility/2006">
      <mc:Choice Requires="x14">
        <control shapeId="5123" r:id="rId4" name="backMenuBtn">
          <controlPr defaultSize="0" autoLine="0" r:id="rId5">
            <anchor moveWithCells="1">
              <from>
                <xdr:col>0</xdr:col>
                <xdr:colOff>0</xdr:colOff>
                <xdr:row>0</xdr:row>
                <xdr:rowOff>0</xdr:rowOff>
              </from>
              <to>
                <xdr:col>9</xdr:col>
                <xdr:colOff>476250</xdr:colOff>
                <xdr:row>1</xdr:row>
                <xdr:rowOff>123825</xdr:rowOff>
              </to>
            </anchor>
          </controlPr>
        </control>
      </mc:Choice>
      <mc:Fallback>
        <control shapeId="5123" r:id="rId4" name="backMenuBtn"/>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Dropdown!$F$2:$F$13</xm:f>
          </x14:formula1>
          <xm:sqref>S10:S29</xm:sqref>
        </x14:dataValidation>
        <x14:dataValidation type="list" allowBlank="1" showInputMessage="1" showErrorMessage="1">
          <x14:formula1>
            <xm:f>Dropdown!$G$2:$G$13</xm:f>
          </x14:formula1>
          <xm:sqref>T10:T29</xm:sqref>
        </x14:dataValidation>
        <x14:dataValidation type="list" allowBlank="1" showInputMessage="1" showErrorMessage="1">
          <x14:formula1>
            <xm:f>Dropdown!$D$1:$D$15</xm:f>
          </x14:formula1>
          <xm:sqref>P10:P29</xm:sqref>
        </x14:dataValidation>
        <x14:dataValidation type="list" allowBlank="1" showInputMessage="1" showErrorMessage="1">
          <x14:formula1>
            <xm:f>Dropdown!$C$2:$C$6</xm:f>
          </x14:formula1>
          <xm:sqref>O10:O29</xm:sqref>
        </x14:dataValidation>
        <x14:dataValidation type="list" allowBlank="1" showInputMessage="1" showErrorMessage="1">
          <x14:formula1>
            <xm:f>Dropdown!$F$2:$F$7</xm:f>
          </x14:formula1>
          <xm:sqref>R10:R29</xm:sqref>
        </x14:dataValidation>
        <x14:dataValidation type="list" allowBlank="1" showInputMessage="1" showErrorMessage="1">
          <x14:formula1>
            <xm:f>Dropdown!$A$2:$A$13</xm:f>
          </x14:formula1>
          <xm:sqref>N10:N29</xm:sqref>
        </x14:dataValidation>
        <x14:dataValidation type="list" allowBlank="1" showInputMessage="1" showErrorMessage="1">
          <x14:formula1>
            <xm:f>Dropdown!$E$2:$E$10</xm:f>
          </x14:formula1>
          <xm:sqref>Q10:Q29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pageSetUpPr fitToPage="1"/>
  </sheetPr>
  <dimension ref="A1:P18"/>
  <sheetViews>
    <sheetView showGridLines="0" zoomScale="55" zoomScaleNormal="55" zoomScaleSheetLayoutView="40" zoomScalePageLayoutView="91" workbookViewId="0">
      <selection activeCell="C156" sqref="C156"/>
    </sheetView>
  </sheetViews>
  <sheetFormatPr defaultColWidth="11.42578125" defaultRowHeight="14.25" x14ac:dyDescent="0.2"/>
  <cols>
    <col min="1" max="1" width="12.140625" style="244" bestFit="1" customWidth="1"/>
    <col min="2" max="16" width="40.5703125" style="244" customWidth="1"/>
    <col min="17" max="16384" width="11.42578125" style="244"/>
  </cols>
  <sheetData>
    <row r="1" spans="1:16" x14ac:dyDescent="0.2">
      <c r="A1" s="244" t="s">
        <v>751</v>
      </c>
    </row>
    <row r="3" spans="1:16" ht="15" thickBot="1" x14ac:dyDescent="0.25">
      <c r="A3" s="324"/>
      <c r="B3" s="324"/>
    </row>
    <row r="4" spans="1:16" ht="15.75" thickBot="1" x14ac:dyDescent="0.25">
      <c r="A4" s="442" t="s">
        <v>743</v>
      </c>
      <c r="B4" s="443"/>
      <c r="C4" s="443"/>
      <c r="D4" s="443"/>
      <c r="E4" s="443"/>
      <c r="F4" s="443"/>
      <c r="G4" s="443"/>
      <c r="H4" s="443"/>
      <c r="I4" s="443"/>
      <c r="J4" s="443"/>
      <c r="K4" s="443"/>
      <c r="L4" s="443"/>
      <c r="M4" s="325"/>
      <c r="N4" s="325"/>
      <c r="O4" s="325"/>
      <c r="P4" s="326"/>
    </row>
    <row r="5" spans="1:16" ht="155.1" customHeight="1" thickBot="1" x14ac:dyDescent="0.25">
      <c r="A5" s="327" t="s">
        <v>744</v>
      </c>
      <c r="B5" s="327"/>
      <c r="C5" s="328"/>
      <c r="D5" s="328"/>
      <c r="E5" s="328"/>
      <c r="F5" s="328"/>
      <c r="G5" s="328"/>
      <c r="H5" s="328"/>
      <c r="I5" s="328"/>
      <c r="J5" s="328"/>
      <c r="K5" s="328"/>
      <c r="L5" s="328"/>
      <c r="M5" s="328"/>
      <c r="N5" s="328"/>
      <c r="O5" s="328"/>
      <c r="P5" s="326"/>
    </row>
    <row r="6" spans="1:16" ht="155.1" customHeight="1" thickBot="1" x14ac:dyDescent="0.25">
      <c r="A6" s="329" t="s">
        <v>745</v>
      </c>
      <c r="B6" s="327"/>
      <c r="C6" s="328"/>
      <c r="D6" s="328"/>
      <c r="E6" s="328"/>
      <c r="F6" s="328"/>
      <c r="G6" s="328"/>
      <c r="H6" s="328"/>
      <c r="I6" s="328"/>
      <c r="J6" s="328"/>
      <c r="K6" s="328"/>
      <c r="L6" s="328"/>
      <c r="M6" s="328"/>
      <c r="N6" s="328"/>
      <c r="O6" s="328"/>
      <c r="P6" s="326"/>
    </row>
    <row r="7" spans="1:16" ht="155.1" customHeight="1" thickBot="1" x14ac:dyDescent="0.25">
      <c r="A7" s="327" t="s">
        <v>746</v>
      </c>
      <c r="B7" s="327"/>
      <c r="C7" s="328"/>
      <c r="D7" s="328"/>
      <c r="E7" s="328"/>
      <c r="F7" s="328"/>
      <c r="G7" s="328"/>
      <c r="H7" s="328"/>
      <c r="I7" s="328"/>
      <c r="J7" s="328"/>
      <c r="K7" s="328"/>
      <c r="L7" s="328"/>
      <c r="M7" s="328"/>
      <c r="N7" s="328"/>
      <c r="O7" s="328"/>
      <c r="P7" s="326"/>
    </row>
    <row r="8" spans="1:16" ht="155.1" customHeight="1" thickBot="1" x14ac:dyDescent="0.25">
      <c r="A8" s="330" t="s">
        <v>187</v>
      </c>
      <c r="B8" s="331"/>
      <c r="C8" s="332"/>
      <c r="D8" s="332"/>
      <c r="E8" s="332"/>
      <c r="F8" s="332"/>
      <c r="G8" s="332"/>
      <c r="H8" s="332"/>
      <c r="I8" s="332"/>
      <c r="J8" s="332"/>
      <c r="K8" s="332"/>
      <c r="L8" s="332"/>
      <c r="M8" s="332"/>
      <c r="N8" s="332"/>
      <c r="O8" s="333"/>
      <c r="P8" s="334"/>
    </row>
    <row r="9" spans="1:16" ht="155.1" customHeight="1" x14ac:dyDescent="0.2">
      <c r="A9" s="444" t="s">
        <v>38</v>
      </c>
      <c r="B9" s="335"/>
      <c r="C9" s="333"/>
      <c r="D9" s="333"/>
      <c r="E9" s="333"/>
      <c r="F9" s="333"/>
      <c r="G9" s="333"/>
      <c r="H9" s="333"/>
      <c r="I9" s="333"/>
      <c r="J9" s="333"/>
      <c r="K9" s="333"/>
      <c r="L9" s="333"/>
      <c r="M9" s="333"/>
      <c r="N9" s="333"/>
      <c r="O9" s="333"/>
      <c r="P9" s="334"/>
    </row>
    <row r="10" spans="1:16" ht="155.1" customHeight="1" thickBot="1" x14ac:dyDescent="0.25">
      <c r="A10" s="445"/>
      <c r="B10" s="336"/>
      <c r="C10" s="337"/>
      <c r="D10" s="337"/>
      <c r="E10" s="337"/>
      <c r="F10" s="337"/>
      <c r="G10" s="337"/>
      <c r="H10" s="337"/>
      <c r="I10" s="337"/>
      <c r="J10" s="337"/>
      <c r="K10" s="337"/>
      <c r="L10" s="337"/>
      <c r="M10" s="337"/>
      <c r="N10" s="337"/>
      <c r="O10" s="337"/>
      <c r="P10" s="338"/>
    </row>
    <row r="11" spans="1:16" ht="155.1" customHeight="1" thickBot="1" x14ac:dyDescent="0.25">
      <c r="A11" s="327" t="s">
        <v>49</v>
      </c>
      <c r="B11" s="327"/>
      <c r="C11" s="328"/>
      <c r="D11" s="328"/>
      <c r="E11" s="328"/>
      <c r="F11" s="328"/>
      <c r="G11" s="328"/>
      <c r="H11" s="328"/>
      <c r="I11" s="328"/>
      <c r="J11" s="328"/>
      <c r="K11" s="328"/>
      <c r="L11" s="328"/>
      <c r="M11" s="328"/>
      <c r="N11" s="328"/>
      <c r="O11" s="328"/>
      <c r="P11" s="326"/>
    </row>
    <row r="12" spans="1:16" ht="155.1" customHeight="1" thickBot="1" x14ac:dyDescent="0.25">
      <c r="A12" s="327" t="s">
        <v>54</v>
      </c>
      <c r="B12" s="327"/>
      <c r="C12" s="328"/>
      <c r="D12" s="328"/>
      <c r="E12" s="328"/>
      <c r="F12" s="328"/>
      <c r="G12" s="328"/>
      <c r="H12" s="328"/>
      <c r="I12" s="328"/>
      <c r="J12" s="328"/>
      <c r="K12" s="328"/>
      <c r="L12" s="328"/>
      <c r="M12" s="328"/>
      <c r="N12" s="328"/>
      <c r="O12" s="328"/>
      <c r="P12" s="326"/>
    </row>
    <row r="13" spans="1:16" ht="155.1" customHeight="1" thickBot="1" x14ac:dyDescent="0.25">
      <c r="A13" s="327" t="s">
        <v>60</v>
      </c>
      <c r="B13" s="327"/>
      <c r="C13" s="328"/>
      <c r="D13" s="328"/>
      <c r="E13" s="328"/>
      <c r="F13" s="328"/>
      <c r="G13" s="328"/>
      <c r="H13" s="328"/>
      <c r="I13" s="328"/>
      <c r="J13" s="328"/>
      <c r="K13" s="328"/>
      <c r="L13" s="328"/>
      <c r="M13" s="328"/>
      <c r="N13" s="328"/>
      <c r="O13" s="328"/>
      <c r="P13" s="326"/>
    </row>
    <row r="14" spans="1:16" ht="155.1" customHeight="1" thickBot="1" x14ac:dyDescent="0.25">
      <c r="A14" s="327" t="s">
        <v>747</v>
      </c>
      <c r="B14" s="327"/>
      <c r="C14" s="328"/>
      <c r="D14" s="328"/>
      <c r="E14" s="328"/>
      <c r="F14" s="328"/>
      <c r="G14" s="328"/>
      <c r="H14" s="328"/>
      <c r="I14" s="328"/>
      <c r="J14" s="328"/>
      <c r="K14" s="328"/>
      <c r="L14" s="328"/>
      <c r="M14" s="328"/>
      <c r="N14" s="328"/>
      <c r="O14" s="328"/>
      <c r="P14" s="326"/>
    </row>
    <row r="15" spans="1:16" ht="155.1" customHeight="1" thickBot="1" x14ac:dyDescent="0.25">
      <c r="A15" s="327" t="s">
        <v>229</v>
      </c>
      <c r="B15" s="327"/>
      <c r="C15" s="328"/>
      <c r="D15" s="328"/>
      <c r="E15" s="328"/>
      <c r="F15" s="328"/>
      <c r="G15" s="328"/>
      <c r="H15" s="328"/>
      <c r="I15" s="328"/>
      <c r="J15" s="328"/>
      <c r="K15" s="328"/>
      <c r="L15" s="328"/>
      <c r="M15" s="328"/>
      <c r="N15" s="328"/>
      <c r="O15" s="328"/>
      <c r="P15" s="326"/>
    </row>
    <row r="16" spans="1:16" ht="24.95" customHeight="1" x14ac:dyDescent="0.2">
      <c r="A16" s="339" t="s">
        <v>748</v>
      </c>
      <c r="B16" s="340"/>
      <c r="C16" s="341"/>
      <c r="D16" s="341"/>
      <c r="E16" s="341"/>
      <c r="F16" s="341"/>
      <c r="G16" s="341"/>
      <c r="H16" s="341"/>
      <c r="I16" s="341"/>
      <c r="J16" s="341"/>
      <c r="K16" s="341"/>
      <c r="L16" s="341"/>
      <c r="M16" s="341"/>
      <c r="N16" s="341"/>
      <c r="O16" s="341"/>
      <c r="P16" s="342"/>
    </row>
    <row r="17" spans="1:16" ht="15" x14ac:dyDescent="0.2">
      <c r="A17" s="343">
        <v>1</v>
      </c>
      <c r="B17" s="446" t="s">
        <v>749</v>
      </c>
      <c r="C17" s="447"/>
      <c r="D17" s="447"/>
      <c r="E17" s="447"/>
      <c r="F17" s="447"/>
      <c r="G17" s="447"/>
      <c r="H17" s="447"/>
      <c r="I17" s="447"/>
      <c r="J17" s="447"/>
      <c r="K17" s="447"/>
      <c r="L17" s="447"/>
      <c r="M17" s="447"/>
      <c r="N17" s="447"/>
      <c r="O17" s="447"/>
      <c r="P17" s="448"/>
    </row>
    <row r="18" spans="1:16" ht="18.95" customHeight="1" thickBot="1" x14ac:dyDescent="0.25">
      <c r="A18" s="344"/>
      <c r="B18" s="449"/>
      <c r="C18" s="450"/>
      <c r="D18" s="450"/>
      <c r="E18" s="450"/>
      <c r="F18" s="450"/>
      <c r="G18" s="450"/>
      <c r="H18" s="450"/>
      <c r="I18" s="451"/>
      <c r="J18" s="451"/>
      <c r="K18" s="451"/>
      <c r="L18" s="451"/>
      <c r="M18" s="451"/>
      <c r="N18" s="451"/>
      <c r="O18" s="451"/>
      <c r="P18" s="452"/>
    </row>
  </sheetData>
  <sheetProtection algorithmName="SHA-512" hashValue="wTUa76uTGERoP/tiv7GNIJlc98vgxh3+x+hUhZe86kn0eif5k3BbqIL4xF81YcQgzUJerQVq5V9l6Jl9jqTZ4g==" saltValue="uhVxymssQfysoT57Ox4V5w==" spinCount="100000" sheet="1" objects="1" scenarios="1"/>
  <mergeCells count="4">
    <mergeCell ref="A4:L4"/>
    <mergeCell ref="A9:A10"/>
    <mergeCell ref="B17:P17"/>
    <mergeCell ref="B18:P18"/>
  </mergeCells>
  <pageMargins left="0.70000000000000007" right="0.70000000000000007" top="0.75000000000000011" bottom="0.75000000000000011" header="0.30000000000000004" footer="0.30000000000000004"/>
  <pageSetup paperSize="5" scale="25" orientation="landscape" r:id="rId1"/>
  <headerFooter>
    <oddFooter>&amp;L&amp;"Arial,Regular"&amp;K000000&amp;A&amp;R&amp;"Arial,Regular"&amp;K000000Page 3 of 10</oddFooter>
  </headerFooter>
  <drawing r:id="rId2"/>
  <legacyDrawing r:id="rId3"/>
  <controls>
    <mc:AlternateContent xmlns:mc="http://schemas.openxmlformats.org/markup-compatibility/2006">
      <mc:Choice Requires="x14">
        <control shapeId="3073" r:id="rId4" name="backMenuBtn">
          <controlPr defaultSize="0" autoLine="0" r:id="rId5">
            <anchor moveWithCells="1">
              <from>
                <xdr:col>0</xdr:col>
                <xdr:colOff>0</xdr:colOff>
                <xdr:row>0</xdr:row>
                <xdr:rowOff>0</xdr:rowOff>
              </from>
              <to>
                <xdr:col>1</xdr:col>
                <xdr:colOff>390525</xdr:colOff>
                <xdr:row>1</xdr:row>
                <xdr:rowOff>104775</xdr:rowOff>
              </to>
            </anchor>
          </controlPr>
        </control>
      </mc:Choice>
      <mc:Fallback>
        <control shapeId="3073" r:id="rId4" name="backMenuBt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L24"/>
  <sheetViews>
    <sheetView showGridLines="0" zoomScale="80" zoomScaleNormal="80" workbookViewId="0">
      <pane xSplit="2" ySplit="8" topLeftCell="C24" activePane="bottomRight" state="frozen"/>
      <selection activeCell="C156" sqref="C156"/>
      <selection pane="topRight" activeCell="C156" sqref="C156"/>
      <selection pane="bottomLeft" activeCell="C156" sqref="C156"/>
      <selection pane="bottomRight" activeCell="C156" sqref="C156"/>
    </sheetView>
  </sheetViews>
  <sheetFormatPr defaultColWidth="8.85546875" defaultRowHeight="15" outlineLevelCol="1" x14ac:dyDescent="0.25"/>
  <cols>
    <col min="1" max="1" width="10.5703125" customWidth="1"/>
    <col min="2" max="2" width="50.5703125" customWidth="1"/>
    <col min="3" max="3" width="15.5703125" customWidth="1" outlineLevel="1"/>
    <col min="4" max="6" width="12.5703125" customWidth="1" outlineLevel="1"/>
    <col min="7" max="7" width="35.5703125" customWidth="1"/>
    <col min="8" max="8" width="18.140625" style="257" customWidth="1" outlineLevel="1"/>
    <col min="9" max="9" width="35.5703125" customWidth="1" outlineLevel="1"/>
    <col min="10" max="10" width="90.5703125" customWidth="1"/>
    <col min="11" max="11" width="15.5703125" customWidth="1"/>
    <col min="12" max="12" width="1.5703125" customWidth="1"/>
  </cols>
  <sheetData>
    <row r="1" spans="1:12" x14ac:dyDescent="0.25">
      <c r="A1" t="s">
        <v>751</v>
      </c>
    </row>
    <row r="3" spans="1:12" s="188" customFormat="1" ht="14.65" customHeight="1" x14ac:dyDescent="0.25">
      <c r="A3" s="225" t="str">
        <f>Narrative!A3</f>
        <v>ViewRay</v>
      </c>
      <c r="B3" s="226"/>
      <c r="C3" s="227"/>
      <c r="D3" s="187"/>
      <c r="E3" s="187"/>
      <c r="F3" s="187"/>
      <c r="G3" s="187"/>
      <c r="H3" s="187"/>
    </row>
    <row r="4" spans="1:12" s="188" customFormat="1" ht="12.75" x14ac:dyDescent="0.25">
      <c r="A4" s="228" t="s">
        <v>318</v>
      </c>
      <c r="C4" s="229"/>
      <c r="H4" s="187"/>
    </row>
    <row r="5" spans="1:12" s="188" customFormat="1" ht="12.75" x14ac:dyDescent="0.25">
      <c r="A5" s="225" t="str">
        <f>Narrative!A5</f>
        <v>Financial Close and Reporting (FCR)</v>
      </c>
      <c r="C5" s="229"/>
      <c r="H5" s="187"/>
    </row>
    <row r="6" spans="1:12" s="188" customFormat="1" ht="12.75" x14ac:dyDescent="0.25">
      <c r="A6" s="225" t="str">
        <f>Narrative!A6</f>
        <v>FY 2019</v>
      </c>
      <c r="C6" s="230"/>
      <c r="D6" s="231"/>
      <c r="E6" s="231"/>
      <c r="F6" s="231"/>
      <c r="G6" s="231"/>
      <c r="H6" s="232"/>
    </row>
    <row r="7" spans="1:12" s="237" customFormat="1" ht="18" customHeight="1" x14ac:dyDescent="0.2">
      <c r="A7" s="233">
        <v>12.5</v>
      </c>
      <c r="B7" s="234">
        <v>55</v>
      </c>
      <c r="C7" s="235">
        <v>12.5</v>
      </c>
      <c r="D7" s="233">
        <v>12.5</v>
      </c>
      <c r="E7" s="233">
        <v>12.5</v>
      </c>
      <c r="F7" s="233">
        <v>12.5</v>
      </c>
      <c r="G7" s="236">
        <v>45</v>
      </c>
      <c r="H7" s="233">
        <v>12.5</v>
      </c>
      <c r="I7" s="233">
        <v>12.5</v>
      </c>
      <c r="J7" s="233">
        <v>12.5</v>
      </c>
      <c r="K7" s="233">
        <v>12.5</v>
      </c>
    </row>
    <row r="8" spans="1:12" s="240" customFormat="1" ht="61.5" customHeight="1" x14ac:dyDescent="0.2">
      <c r="A8" s="189" t="s">
        <v>251</v>
      </c>
      <c r="B8" s="189" t="s">
        <v>252</v>
      </c>
      <c r="C8" s="189" t="s">
        <v>319</v>
      </c>
      <c r="D8" s="189" t="s">
        <v>100</v>
      </c>
      <c r="E8" s="189" t="s">
        <v>320</v>
      </c>
      <c r="F8" s="189" t="s">
        <v>321</v>
      </c>
      <c r="G8" s="189" t="s">
        <v>322</v>
      </c>
      <c r="H8" s="189" t="s">
        <v>323</v>
      </c>
      <c r="I8" s="189" t="s">
        <v>324</v>
      </c>
      <c r="J8" s="238" t="s">
        <v>325</v>
      </c>
      <c r="K8" s="189" t="s">
        <v>326</v>
      </c>
      <c r="L8" s="239"/>
    </row>
    <row r="9" spans="1:12" s="244" customFormat="1" ht="253.5" customHeight="1" x14ac:dyDescent="0.2">
      <c r="A9" s="241" t="str">
        <f>RCM!J10</f>
        <v>FCR 1.02</v>
      </c>
      <c r="B9" s="242" t="str">
        <f>VLOOKUP(A9,RCM!$J$10:$U$29,2,FALSE)</f>
        <v>All requests for Chart of Accounts additions, modifications, and deletions are approved by the Corporate Controller for approval.  Approval is evidenced by email.</v>
      </c>
      <c r="C9" s="200">
        <f>VLOOKUP(A9,RCM!$J$10:$U$29,3,FALSE)</f>
        <v>42186</v>
      </c>
      <c r="D9" s="241" t="str">
        <f>VLOOKUP(A9,RCM!$J$10:$U$29,4,FALSE)</f>
        <v>Corporate Controller</v>
      </c>
      <c r="E9" s="241" t="str">
        <f>VLOOKUP(A9,RCM!$J$10:$U$29,5,FALSE)</f>
        <v>Transactional</v>
      </c>
      <c r="F9" s="241" t="str">
        <f>VLOOKUP(A9,RCM!$J$10:$U$29,5,FALSE)</f>
        <v>Transactional</v>
      </c>
      <c r="G9" s="242" t="str">
        <f>VLOOKUP(A9,RCM!$J$10:$U$29,12,FALSE)</f>
        <v>1. Obtain a QAD listing of COA changes during the testing period and make a sample selection.
2. Verify the Corporate Controller reviewed and approved the addition/change against supporting documentation or reasons for change prior to the setup.
3. Verify COA setup agrees back to what was approved by the Controller.</v>
      </c>
      <c r="H9" s="241" t="s">
        <v>327</v>
      </c>
      <c r="I9" s="210" t="s">
        <v>328</v>
      </c>
      <c r="J9" s="242" t="s">
        <v>329</v>
      </c>
      <c r="K9" s="243" t="s">
        <v>330</v>
      </c>
    </row>
    <row r="10" spans="1:12" s="244" customFormat="1" ht="397.5" customHeight="1" x14ac:dyDescent="0.2">
      <c r="A10" s="241" t="str">
        <f>RCM!J11</f>
        <v>FCR 2.05</v>
      </c>
      <c r="B10" s="242" t="str">
        <f>VLOOKUP(A10,RCM!$J$10:$U$29,2,FALSE)</f>
        <v>All journal entries are reviewed by an individual independent of the preparer at the Accounting Manager level and above.  The reviewer agrees the system journal entry to the Journal Entry Form, as applicable and to the support to evidence proper preparation. The review also includes ensuring that the support is adequate and mathematically accurate.  The review is evidenced by sign off on the Journal Entry Form or sign off on the printed journal entry. As of March 2019 month end, journal entries are routed for approval within QAD, thus the review and approval is evidenced by the QAD system approver.</v>
      </c>
      <c r="C10" s="200">
        <f>VLOOKUP(A10,RCM!$J$10:$U$29,3,FALSE)</f>
        <v>43525</v>
      </c>
      <c r="D10" s="241" t="str">
        <f>VLOOKUP(A10,RCM!$J$10:$U$29,4,FALSE)</f>
        <v>Accounting Manager &amp; Above</v>
      </c>
      <c r="E10" s="241" t="str">
        <f>VLOOKUP(A10,RCM!$J$10:$U$29,5,FALSE)</f>
        <v>Transactional</v>
      </c>
      <c r="F10" s="241" t="str">
        <f>VLOOKUP(A10,RCM!$J$10:$U$29,5,FALSE)</f>
        <v>Transactional</v>
      </c>
      <c r="G10" s="242" t="str">
        <f>VLOOKUP(A10,RCM!$J$10:$U$29,12,FALSE)</f>
        <v>1. Obtain a system generated list of manual journal entries from QAD and make a sample selection.
2. Review the journal entry in QAD against the supporting documentation to ensure that they agree
3. Ensure any underlying schedules agree to support
4. If applicable ensure the JE support is free of clerical error.
5. Verify there is evidence that someone other than the preparer reviewed and approved the journal entry.</v>
      </c>
      <c r="H10" s="241" t="s">
        <v>327</v>
      </c>
      <c r="I10" s="210" t="s">
        <v>331</v>
      </c>
      <c r="J10" s="245" t="s">
        <v>332</v>
      </c>
      <c r="K10" s="243" t="s">
        <v>330</v>
      </c>
    </row>
    <row r="11" spans="1:12" s="244" customFormat="1" ht="242.25" x14ac:dyDescent="0.2">
      <c r="A11" s="241" t="str">
        <f>RCM!J13</f>
        <v>FCR 2.09</v>
      </c>
      <c r="B11" s="242" t="str">
        <f>VLOOKUP(A11,RCM!$J$10:$U$29,2,FALSE)</f>
        <v>At each month end, the Corporate Controller, who does not have access to post journal entries, reviews the QAD Journal Entry Listing to ensure that all journal entries were properly authorized and reviewed/approved by someone other than the preparer.  Effective May 2019, the Corporate Controller also reviews all users listed as creators general ledger entries for the period to ensure that the QAD administrators (superusers) have not processed any general ledger transactions.  The review is evidenced by sign off and date on the QAD Journal Entry Listing and screen shots of all creators of general ledger entries for the period.</v>
      </c>
      <c r="C11" s="200">
        <f>VLOOKUP(A11,RCM!$J$10:$U$29,3,FALSE)</f>
        <v>43525</v>
      </c>
      <c r="D11" s="241" t="str">
        <f>VLOOKUP(A11,RCM!$J$10:$U$29,4,FALSE)</f>
        <v>Corporate Controller</v>
      </c>
      <c r="E11" s="241" t="str">
        <f>VLOOKUP(A11,RCM!$J$10:$U$29,5,FALSE)</f>
        <v>Monthly</v>
      </c>
      <c r="F11" s="241" t="str">
        <f>VLOOKUP(A11,RCM!$J$10:$U$29,5,FALSE)</f>
        <v>Monthly</v>
      </c>
      <c r="G11" s="242" t="str">
        <f>VLOOKUP(A11,RCM!$J$10:$U$29,12,FALSE)</f>
        <v>1. Obtain the QAD JE Listing for the selected period
2. Verify that that no JEs were reviewed and approved by the same person
3. Verify the approvers are appropriate based on role.
4. Ascertain that there were no system admin creates of  system entries within QAD General Ledger Transaction Extended View
5. Confirm the Controller reviewed and approved both the JE listing and the system admin entries timely.</v>
      </c>
      <c r="H11" s="241" t="s">
        <v>327</v>
      </c>
      <c r="I11" s="210" t="s">
        <v>333</v>
      </c>
      <c r="J11" s="245" t="s">
        <v>334</v>
      </c>
      <c r="K11" s="243" t="s">
        <v>330</v>
      </c>
    </row>
    <row r="12" spans="1:12" s="244" customFormat="1" ht="409.15" customHeight="1" x14ac:dyDescent="0.2">
      <c r="A12" s="241" t="str">
        <f>RCM!J14</f>
        <v>FCR 3.04</v>
      </c>
      <c r="B12" s="242" t="str">
        <f>VLOOKUP(A12,RCM!$J$10:$U$29,2,FALSE)</f>
        <v>On a quarterly basis, the Senior Accountant validates the Accrualify Unvouched Invoice List by selecting sample invoices from the AP inbox that were received the prior business day.  The sampled invoices are agreed to the Accrualify report to ensure that each was accurately captured in the Unvouched Invoice List.  If any variances exist, the Accrualify is contacted to resolve the issue.  The Senior Accountant signs off on the report and notes all findings as evidence of review, along with retaining a copy of the sampled invoices with the final tested report.</v>
      </c>
      <c r="C12" s="200">
        <f>VLOOKUP(A12,RCM!$J$10:$U$29,3,FALSE)</f>
        <v>43678</v>
      </c>
      <c r="D12" s="241" t="str">
        <f>VLOOKUP(A12,RCM!$J$10:$U$29,4,FALSE)</f>
        <v>Senior Accountant</v>
      </c>
      <c r="E12" s="241" t="str">
        <f>VLOOKUP(A12,RCM!$J$10:$U$29,5,FALSE)</f>
        <v>Quarterly</v>
      </c>
      <c r="F12" s="241" t="str">
        <f>VLOOKUP(A12,RCM!$J$10:$U$29,5,FALSE)</f>
        <v>Quarterly</v>
      </c>
      <c r="G12" s="242" t="str">
        <f>VLOOKUP(A12,RCM!$J$10:$U$29,12,FALSE)</f>
        <v>1. Obtain the final non-materials Accrualify Unmatched invoice listing test for the testing period.
2. Verify that the Senior Accountant performed the testing to the specified sample size.
3. Any variances noted.</v>
      </c>
      <c r="H12" s="246" t="s">
        <v>335</v>
      </c>
      <c r="I12" s="247" t="s">
        <v>336</v>
      </c>
      <c r="J12" s="248" t="s">
        <v>337</v>
      </c>
      <c r="K12" s="249" t="s">
        <v>338</v>
      </c>
    </row>
    <row r="13" spans="1:12" s="244" customFormat="1" ht="409.15" customHeight="1" x14ac:dyDescent="0.2">
      <c r="A13" s="241" t="str">
        <f>RCM!J15</f>
        <v>FCR 3.09</v>
      </c>
      <c r="B13" s="242" t="str">
        <f>VLOOKUP(A13,RCM!$J$10:$U$29,2,FALSE)</f>
        <v xml:space="preserve">The Accounting Manager or delegate reviews and approves the monthly non-materials accrual journal entries for completeness and accuracy. The review includes ensuring that accrued expenses are not duplicated in the AP Aging, the notes on the Accrual workbook are properly supported.  The review is evidenced by review notes and sign-off is evidence of approval.  Refer to section INV 3.00 for the key control over the materials accrual. </v>
      </c>
      <c r="C13" s="200">
        <f>VLOOKUP(A13,RCM!$J$10:$U$29,3,FALSE)</f>
        <v>42186</v>
      </c>
      <c r="D13" s="241" t="str">
        <f>VLOOKUP(A13,RCM!$J$10:$U$29,4,FALSE)</f>
        <v>Accounting Manger</v>
      </c>
      <c r="E13" s="241" t="str">
        <f>VLOOKUP(A13,RCM!$J$10:$U$29,5,FALSE)</f>
        <v>Monthly</v>
      </c>
      <c r="F13" s="241" t="str">
        <f>VLOOKUP(A13,RCM!$J$10:$U$29,5,FALSE)</f>
        <v>Monthly</v>
      </c>
      <c r="G13" s="242" t="str">
        <f>VLOOKUP(A13,RCM!$J$10:$U$29,12,FALSE)</f>
        <v>1. Obtain the final non-materials accrual JE, AP Aging and accrual supporting documents for the selected period.
2. Ensure the accruals are supported / explained
3. Review follow up and notes to ensure it was captured in the accrual
4. Verify evidence of review and approval by the Accounting Manager or delegate.</v>
      </c>
      <c r="H13" s="241" t="s">
        <v>339</v>
      </c>
      <c r="I13" s="242" t="s">
        <v>340</v>
      </c>
      <c r="J13" s="245" t="s">
        <v>341</v>
      </c>
      <c r="K13" s="250" t="s">
        <v>330</v>
      </c>
    </row>
    <row r="14" spans="1:12" s="244" customFormat="1" ht="204" x14ac:dyDescent="0.2">
      <c r="A14" s="241" t="str">
        <f>RCM!J16</f>
        <v>FCR 3.12</v>
      </c>
      <c r="B14" s="242" t="str">
        <f>VLOOKUP(A14,RCM!$J$10:$U$29,2,FALSE)</f>
        <v>In the month after the quarter end and prior to filing the 10Q/10K, the Corporate Controller reviews the Subsequent Invoice Log to determine the materiality of the invoices on the listing and whether any should be recorded in the reporting period. The review and decision is documented by sign-off or emails.</v>
      </c>
      <c r="C14" s="200">
        <f>VLOOKUP(A14,RCM!$J$10:$U$29,3,FALSE)</f>
        <v>42186</v>
      </c>
      <c r="D14" s="241" t="str">
        <f>VLOOKUP(A14,RCM!$J$10:$U$29,4,FALSE)</f>
        <v>Corporate Controller</v>
      </c>
      <c r="E14" s="241" t="str">
        <f>VLOOKUP(A14,RCM!$J$10:$U$29,5,FALSE)</f>
        <v>Monthly</v>
      </c>
      <c r="F14" s="241" t="str">
        <f>VLOOKUP(A14,RCM!$J$10:$U$29,5,FALSE)</f>
        <v>Monthly</v>
      </c>
      <c r="G14" s="242" t="str">
        <f>VLOOKUP(A14,RCM!$J$10:$U$29,12,FALSE)</f>
        <v>1.Obtain the subsequent invoice log for the period selected and relevant JE's.
2. Verify the review was performed by the Corporate Controller and that a decision was made for each invoice that impacts the reporting period.
3. Ascertain that the invoices listed on the log were not included on the Accrual FCR 3.08
4. Agree the accrual JE(s) to the subsequent invoice log to ensure completeness of the accruals.</v>
      </c>
      <c r="H14" s="251" t="s">
        <v>342</v>
      </c>
      <c r="I14" s="210" t="s">
        <v>343</v>
      </c>
      <c r="J14" s="252" t="s">
        <v>344</v>
      </c>
      <c r="K14" s="243" t="s">
        <v>330</v>
      </c>
    </row>
    <row r="15" spans="1:12" s="244" customFormat="1" ht="282.75" customHeight="1" x14ac:dyDescent="0.2">
      <c r="A15" s="241" t="str">
        <f>RCM!J17</f>
        <v>FCR 4.02</v>
      </c>
      <c r="B15" s="242" t="str">
        <f>VLOOKUP(A15,RCM!$J$10:$U$29,2,FALSE)</f>
        <v xml:space="preserve">Monthly, all reconciliations are reviewed by an individual independent of the preparer by agreeing the reconciliation to the supporting documentation, ensuring mathematical accuracy, and agreeing the ending balance to the general ledger.  Reconciling items exceeding the greater of $1K are investigated and explained.  The review is evidenced by comments noted on the reconciliation and the approval is evidenced by sign-off on the reconciliation.  </v>
      </c>
      <c r="C15" s="200">
        <f>VLOOKUP(A15,RCM!$J$10:$U$29,3,FALSE)</f>
        <v>42186</v>
      </c>
      <c r="D15" s="241" t="str">
        <f>VLOOKUP(A15,RCM!$J$10:$U$29,4,FALSE)</f>
        <v>Accounting Manager or Above</v>
      </c>
      <c r="E15" s="241" t="str">
        <f>VLOOKUP(A15,RCM!$J$10:$U$29,5,FALSE)</f>
        <v>Monthly</v>
      </c>
      <c r="F15" s="241" t="str">
        <f>VLOOKUP(A15,RCM!$J$10:$U$29,5,FALSE)</f>
        <v>Monthly</v>
      </c>
      <c r="G15" s="242" t="str">
        <f>VLOOKUP(A15,RCM!$J$10:$U$29,12,FALSE)</f>
        <v>1. Obtain the Trial Balance listing all accounts to be reconciled and select a sample of balance sheet account reconciliations, along with supporting documentation and evidence of review.
2. Review the reconciliation to ensure that it agrees to the supporting documentation and GL.
3. Verify the clerical accuracy of the reconciliation.
4.  Verify the review and approval were properly evidenced.
5. Ensure all reconciling items exceeding control threshold were investigated and explained.</v>
      </c>
      <c r="H15" s="251" t="s">
        <v>342</v>
      </c>
      <c r="I15" s="210" t="s">
        <v>345</v>
      </c>
      <c r="J15" s="253" t="s">
        <v>346</v>
      </c>
      <c r="K15" s="243" t="s">
        <v>330</v>
      </c>
    </row>
    <row r="16" spans="1:12" s="244" customFormat="1" ht="152.65" customHeight="1" x14ac:dyDescent="0.2">
      <c r="A16" s="241" t="str">
        <f>RCM!J18</f>
        <v>FCR 4.04</v>
      </c>
      <c r="B16" s="242" t="str">
        <f>VLOOKUP(A16,RCM!$J$10:$U$29,2,FALSE)</f>
        <v>Monthly, the Corporate Controller reviews all account reconciliations against the trial balance to ensure the completeness of the month end reconciliations and to ensure that all activity for the period has been properly reviewed.  The final trial balance is signed off and dated by the Corporate Controller, along with any notes, to evidence the review and approval.</v>
      </c>
      <c r="C16" s="200">
        <f>VLOOKUP(A16,RCM!$J$10:$U$29,3,FALSE)</f>
        <v>43525</v>
      </c>
      <c r="D16" s="241" t="str">
        <f>VLOOKUP(A16,RCM!$J$10:$U$29,4,FALSE)</f>
        <v>Corporate Controller</v>
      </c>
      <c r="E16" s="241" t="str">
        <f>VLOOKUP(A16,RCM!$J$10:$U$29,5,FALSE)</f>
        <v>Monthly</v>
      </c>
      <c r="F16" s="241" t="str">
        <f>VLOOKUP(A16,RCM!$J$10:$U$29,5,FALSE)</f>
        <v>Monthly</v>
      </c>
      <c r="G16" s="242" t="str">
        <f>VLOOKUP(A16,RCM!$J$10:$U$29,12,FALSE)</f>
        <v>1. Obtain the monthly review of the TB against the reconciliations.
2. Review to ensure that all the trial balance accounts were reconciled.
3. Verify there is evidence of review and sign off by the Controller on the final trial balance.</v>
      </c>
      <c r="H16" s="251" t="s">
        <v>342</v>
      </c>
      <c r="I16" s="210" t="s">
        <v>347</v>
      </c>
      <c r="J16" s="242" t="s">
        <v>348</v>
      </c>
      <c r="K16" s="243" t="s">
        <v>330</v>
      </c>
    </row>
    <row r="17" spans="1:11" s="244" customFormat="1" ht="214.5" customHeight="1" x14ac:dyDescent="0.2">
      <c r="A17" s="241" t="str">
        <f>RCM!J20</f>
        <v>FCR 5.05</v>
      </c>
      <c r="B17" s="242" t="str">
        <f>VLOOKUP(A17,RCM!$J$10:$U$29,2,FALSE)</f>
        <v>Quarterly, the Corporate Controller reviews and approves the operating expense allocation journal entry.  The review includes agreeing the journal entry to the allocation percentages provided by Finance, allocable costs to general ledger expense report, and verifying the mathematical accuracy of the calculation.  The review and approval is evidenced via sign-off on the journal entry.</v>
      </c>
      <c r="C17" s="200">
        <f>VLOOKUP(A17,RCM!$J$10:$U$29,3,FALSE)</f>
        <v>42186</v>
      </c>
      <c r="D17" s="241" t="str">
        <f>VLOOKUP(A17,RCM!$J$10:$U$29,4,FALSE)</f>
        <v>Corporate Controller</v>
      </c>
      <c r="E17" s="241" t="str">
        <f>VLOOKUP(A17,RCM!$J$10:$U$29,5,FALSE)</f>
        <v>Quarterly</v>
      </c>
      <c r="F17" s="241" t="str">
        <f>VLOOKUP(A17,RCM!$J$10:$U$29,5,FALSE)</f>
        <v>Quarterly</v>
      </c>
      <c r="G17" s="242" t="str">
        <f>VLOOKUP(A17,RCM!$J$10:$U$29,12,FALSE)</f>
        <v>1. Obtain the operating expense allocation JE and support for the testing period.
2. Review the journal entry documentation to ensure that the JE Form, QAD JE, and support all agree and allocated expenses were properly supported.
3. Ensure the calculation of allocated expenses is free of clerical error.
4. Verify there is evidence that the Controller reviewed and approved the journal entry.</v>
      </c>
      <c r="H17" s="251" t="s">
        <v>342</v>
      </c>
      <c r="I17" s="210" t="s">
        <v>349</v>
      </c>
      <c r="J17" s="242" t="s">
        <v>350</v>
      </c>
      <c r="K17" s="243" t="s">
        <v>330</v>
      </c>
    </row>
    <row r="18" spans="1:11" s="244" customFormat="1" ht="238.5" customHeight="1" x14ac:dyDescent="0.2">
      <c r="A18" s="241" t="str">
        <f>RCM!J22</f>
        <v>FCR 5.10</v>
      </c>
      <c r="B18" s="242" t="str">
        <f>VLOOKUP(A18,RCM!$J$10:$U$29,2,FALSE)</f>
        <v>On a quarterly basis, the Senior Manager, SEC &amp; SOX or delegate prepares the Actual versus Actual (AvA) flux analysis for both the balance sheet and P&amp;L.  The AvA analyzes changes quarter over quarter, current quarter versus the last quarter, and year over year.   All variances greater than $100k and 10% are investigated and explained.  Each AvA flux analysis is reviewed by someone other than the preparer to ensure that all variances are properly explained, along with looking at any variances noted in Finance's BvA to ensure there are no other variances to address.   The AvA is signed off by the reviewer, either the Corporate Controller or VP of Finance.</v>
      </c>
      <c r="C18" s="200" t="str">
        <f>VLOOKUP(A18,RCM!$J$10:$U$29,3,FALSE)</f>
        <v>Q1 2019</v>
      </c>
      <c r="D18" s="241" t="str">
        <f>VLOOKUP(A18,RCM!$J$10:$U$29,4,FALSE)</f>
        <v>Corporate Controller/
VP Finance</v>
      </c>
      <c r="E18" s="241" t="str">
        <f>VLOOKUP(A18,RCM!$J$10:$U$29,5,FALSE)</f>
        <v>Quarterly</v>
      </c>
      <c r="F18" s="241" t="str">
        <f>VLOOKUP(A18,RCM!$J$10:$U$29,5,FALSE)</f>
        <v>Quarterly</v>
      </c>
      <c r="G18" s="242" t="str">
        <f>VLOOKUP(A18,RCM!$J$10:$U$29,12,FALSE)</f>
        <v xml:space="preserve">1. Obtain the AvA fluctuation analysis for the testing period
2. Verify that explanations were provided to the variances exceeding the threshold and properly followed up
3. Verify evidence of review by the Controller or VP of Finance. </v>
      </c>
      <c r="H18" s="251" t="s">
        <v>342</v>
      </c>
      <c r="I18" s="210" t="s">
        <v>351</v>
      </c>
      <c r="J18" s="242" t="s">
        <v>352</v>
      </c>
      <c r="K18" s="243" t="s">
        <v>330</v>
      </c>
    </row>
    <row r="19" spans="1:11" s="244" customFormat="1" ht="409.5" x14ac:dyDescent="0.2">
      <c r="A19" s="241" t="str">
        <f>RCM!J23</f>
        <v>FCR 5.11</v>
      </c>
      <c r="B19" s="242" t="str">
        <f>VLOOKUP(A19,RCM!$J$10:$U$29,2,FALSE)</f>
        <v>Transactions that do not occur in the Company’s normal course of business are considered unusual or non-routine transactions.  When a transaction has been identified as a material and unusual or non-routine transaction, a memo is prepared by the External Consultant, or the Senior Manager, SEC &amp; SOX or designate. The memo documents the nature of the transaction and the prescribed accounting treatment. Upon completion of the memo, it is reviewed and approved by the Corporate Controller, as evidenced by sign off and date.  The review is inclusive of the accounting treatment associated with the transaction, as well as the related tax and any possible specific cash flow and/or related party consideration that must be given to the transaction.</v>
      </c>
      <c r="C19" s="200">
        <f>VLOOKUP(A19,RCM!$J$10:$U$29,3,FALSE)</f>
        <v>42186</v>
      </c>
      <c r="D19" s="241" t="str">
        <f>VLOOKUP(A19,RCM!$J$10:$U$29,4,FALSE)</f>
        <v>Corporate Controller</v>
      </c>
      <c r="E19" s="241" t="str">
        <f>VLOOKUP(A19,RCM!$J$10:$U$29,5,FALSE)</f>
        <v>Transactional</v>
      </c>
      <c r="F19" s="241" t="str">
        <f>VLOOKUP(A19,RCM!$J$10:$U$29,5,FALSE)</f>
        <v>Transactional</v>
      </c>
      <c r="G19" s="242" t="str">
        <f>VLOOKUP(A19,RCM!$J$10:$U$29,12,FALSE)</f>
        <v>1. Inquire with Senior Director of Accounting &amp; Extremal Reporting about any non-routine transactions during the period,
2. Obtain memo's for non routine transactions,
3. Ensure accounting guidance referred to in the memo is appropriate
4. Verify review and approval by the Corporate Controller</v>
      </c>
      <c r="H19" s="254" t="s">
        <v>353</v>
      </c>
      <c r="I19" s="242" t="s">
        <v>354</v>
      </c>
      <c r="J19" s="245" t="s">
        <v>355</v>
      </c>
      <c r="K19" s="243" t="s">
        <v>330</v>
      </c>
    </row>
    <row r="20" spans="1:11" s="244" customFormat="1" ht="353.25" customHeight="1" x14ac:dyDescent="0.2">
      <c r="A20" s="241" t="str">
        <f>RCM!J26</f>
        <v>FCR 6.04</v>
      </c>
      <c r="B20" s="242" t="str">
        <f>VLOOKUP(A20,RCM!$J$10:$U$29,2,FALSE)</f>
        <v>Before preparing the quarter end 10Q schedules, the Senior Analyst SEC &amp; SOX or Senior Manager, SEC &amp; SOX, who does not have access to either post journal entries or re-open accounting periods, validates the beginning balance to ensure no unauthorized changes were made to the prior period's financials data.  The ending balance of prior quarter in the prior 10Q file is compared to the beginning per QAD.  Any differences are followed up on.  The review is evidenced by sign off and date of the tab containing the tie out.</v>
      </c>
      <c r="C20" s="200" t="str">
        <f>VLOOKUP(A20,RCM!$J$10:$U$29,3,FALSE)</f>
        <v>Q1 2019</v>
      </c>
      <c r="D20" s="241" t="str">
        <f>VLOOKUP(A20,RCM!$J$10:$U$29,4,FALSE)</f>
        <v>Senior Manager, SEC &amp; SOX</v>
      </c>
      <c r="E20" s="241" t="str">
        <f>VLOOKUP(A20,RCM!$J$10:$U$29,5,FALSE)</f>
        <v>Quarterly</v>
      </c>
      <c r="F20" s="241" t="str">
        <f>VLOOKUP(A20,RCM!$J$10:$U$29,5,FALSE)</f>
        <v>Quarterly</v>
      </c>
      <c r="G20" s="242" t="str">
        <f>VLOOKUP(A20,RCM!$J$10:$U$29,12,FALSE)</f>
        <v>1. Obtain the10Q/10K schedule workbook, containing the validation of the beginning balance
2.  Ascertain the beginning balance agrees to the prior 10Q or 10K
3. Review the prior period's schedule to ensure the tie out was performed.
4.  Validate there was no changes made to the prior periods financial data
5. Ensure sign off by the Senior Manager SEC &amp; SOX</v>
      </c>
      <c r="H20" s="241" t="s">
        <v>356</v>
      </c>
      <c r="I20" s="242" t="s">
        <v>357</v>
      </c>
      <c r="J20" s="255" t="s">
        <v>358</v>
      </c>
      <c r="K20" s="243" t="s">
        <v>330</v>
      </c>
    </row>
    <row r="21" spans="1:11" s="244" customFormat="1" ht="409.5" customHeight="1" x14ac:dyDescent="0.2">
      <c r="A21" s="455" t="str">
        <f>RCM!J27</f>
        <v>FCR 6.07</v>
      </c>
      <c r="B21" s="457" t="str">
        <f>VLOOKUP(A21,RCM!$J$10:$U$29,2,FALSE)</f>
        <v>Quarterly, the Corporate Controller performs a final review and approval of the Cash Flow Statement to ensure the activities are in line with expectations.</v>
      </c>
      <c r="C21" s="200">
        <f>VLOOKUP(A21,RCM!$J$10:$U$29,3,FALSE)</f>
        <v>42186</v>
      </c>
      <c r="D21" s="241" t="str">
        <f>VLOOKUP(A21,RCM!$J$10:$U$29,4,FALSE)</f>
        <v>Corporate Controller</v>
      </c>
      <c r="E21" s="241" t="str">
        <f>VLOOKUP(A21,RCM!$J$10:$U$29,5,FALSE)</f>
        <v>Quarterly</v>
      </c>
      <c r="F21" s="241" t="str">
        <f>VLOOKUP(A21,RCM!$J$10:$U$29,5,FALSE)</f>
        <v>Quarterly</v>
      </c>
      <c r="G21" s="457" t="str">
        <f>VLOOKUP(A21,RCM!$J$10:$U$29,12,FALSE)</f>
        <v>1. Obtain the quarterly cash flow statement.
2. Agree the cash flow statement to supporting schedules.
3. Spot check the statement for clerical accuracy.
4. Ensure the review and approval by the Controller is properly evidenced.</v>
      </c>
      <c r="H21" s="455" t="s">
        <v>359</v>
      </c>
      <c r="I21" s="457" t="s">
        <v>360</v>
      </c>
      <c r="J21" s="457" t="s">
        <v>361</v>
      </c>
      <c r="K21" s="453" t="s">
        <v>330</v>
      </c>
    </row>
    <row r="22" spans="1:11" s="244" customFormat="1" ht="90" customHeight="1" x14ac:dyDescent="0.2">
      <c r="A22" s="456"/>
      <c r="B22" s="458"/>
      <c r="C22" s="200"/>
      <c r="D22" s="241"/>
      <c r="E22" s="241"/>
      <c r="F22" s="241"/>
      <c r="G22" s="458"/>
      <c r="H22" s="456"/>
      <c r="I22" s="458"/>
      <c r="J22" s="458"/>
      <c r="K22" s="454"/>
    </row>
    <row r="23" spans="1:11" s="244" customFormat="1" ht="313.5" x14ac:dyDescent="0.2">
      <c r="A23" s="241" t="str">
        <f>RCM!J28</f>
        <v>FCR 6.09</v>
      </c>
      <c r="B23" s="242" t="str">
        <f>VLOOKUP(A23,RCM!$J$10:$U$29,2,FALSE)</f>
        <v>Quarterly, the completed GAAP Disclosure Checklist is reviewed by Senior Manager SEC &amp; SOX and Corporate Controller to ensure the disclosures are complete.  The GAAP Disclosure Checklist is reviewed against the Draft Form 10Q/10K to verify the completeness of the disclosures.  The review also includes ensuring all new relevant accounting pronouncements have been incorporated and that all significant transactions have been properly disclosed.  Review and approval is evidenced by email.</v>
      </c>
      <c r="C23" s="200">
        <f>VLOOKUP(A23,RCM!$J$10:$U$29,3,FALSE)</f>
        <v>42186</v>
      </c>
      <c r="D23" s="241" t="str">
        <f>VLOOKUP(A23,RCM!$J$10:$U$29,4,FALSE)</f>
        <v>Senior Manager SEC &amp; SOX/ Corporate
Controller</v>
      </c>
      <c r="E23" s="241" t="str">
        <f>VLOOKUP(A23,RCM!$J$10:$U$29,5,FALSE)</f>
        <v>Quarterly</v>
      </c>
      <c r="F23" s="241" t="str">
        <f>VLOOKUP(A23,RCM!$J$10:$U$29,5,FALSE)</f>
        <v>Quarterly</v>
      </c>
      <c r="G23" s="242" t="str">
        <f>VLOOKUP(A23,RCM!$J$10:$U$29,12,FALSE)</f>
        <v>1. Obtain the completed quarterly Disclosure Checklist.
2. Review the checklist to ensure completeness. 
3. Spot check some disclosures and verify that each ties back to the 10Q/10K.
4. Ensure the checklist is reviewed  by Senior Manager, SEC &amp; SOX and Controller</v>
      </c>
      <c r="H23" s="241" t="s">
        <v>362</v>
      </c>
      <c r="I23" s="242" t="s">
        <v>363</v>
      </c>
      <c r="J23" s="242" t="s">
        <v>364</v>
      </c>
      <c r="K23" s="243" t="s">
        <v>330</v>
      </c>
    </row>
    <row r="24" spans="1:11" s="244" customFormat="1" ht="386.25" customHeight="1" x14ac:dyDescent="0.2">
      <c r="A24" s="241" t="str">
        <f>RCM!J29</f>
        <v>FCR 6.11</v>
      </c>
      <c r="B24" s="242" t="str">
        <f>VLOOKUP(A24,RCM!$J$10:$U$29,2,FALSE)</f>
        <v>Quarterly, the Senior Manager, SEC &amp; SOX reviews and approves the tied out 10Q/10K before it is included in the relevant SEC filings.  Review includes verifying the tie-out was completed and accurate specific to all financial statements, footnotes, significant transactions, and related MD&amp;A items.  Prior version(s) of the 10Q/10K drafts, including review comments, are saved as evidence of review.</v>
      </c>
      <c r="C24" s="200">
        <f>VLOOKUP(A24,RCM!$J$10:$U$29,3,FALSE)</f>
        <v>42186</v>
      </c>
      <c r="D24" s="241" t="str">
        <f>VLOOKUP(A24,RCM!$J$10:$U$29,4,FALSE)</f>
        <v>Senior Manager, SEC &amp; SOX</v>
      </c>
      <c r="E24" s="241" t="str">
        <f>VLOOKUP(A24,RCM!$J$10:$U$29,5,FALSE)</f>
        <v>Quarterly</v>
      </c>
      <c r="F24" s="241" t="str">
        <f>VLOOKUP(A24,RCM!$J$10:$U$29,5,FALSE)</f>
        <v>Quarterly</v>
      </c>
      <c r="G24" s="242" t="str">
        <f>VLOOKUP(A24,RCM!$J$10:$U$29,12,FALSE)</f>
        <v>1. Obtain the tied-out financial statements and footnote disclosures from Tie-Out Binder 
2. Review the financial statements and footnote disclosures to verify that evidence exists via tick marks and references to support that all financial information has been tied out and referenced to supporting documentation. 
3. Select some F/S account, footnote disclosure and ensure each ties back to the supporting documentation.
4. Verify evidence of review and approval via signoff by the Senior Manager, SEC &amp; SOX.</v>
      </c>
      <c r="H24" s="241" t="s">
        <v>365</v>
      </c>
      <c r="I24" s="242" t="s">
        <v>366</v>
      </c>
      <c r="J24" s="242" t="s">
        <v>367</v>
      </c>
      <c r="K24" s="243" t="s">
        <v>330</v>
      </c>
    </row>
  </sheetData>
  <sheetProtection algorithmName="SHA-512" hashValue="DGcLKlu8Srzlwb/EntHraNg6+TzhdwFRunftAXokyTA0Ii+Pe5zvInrF1rYAxObAE+rfo9vJyoA1CJ6KiZAQ+Q==" saltValue="fp7aQB1Ty2laGbO8Sl9qfg==" spinCount="100000" sheet="1" objects="1" scenarios="1"/>
  <autoFilter ref="A8:K24"/>
  <mergeCells count="7">
    <mergeCell ref="K21:K22"/>
    <mergeCell ref="A21:A22"/>
    <mergeCell ref="B21:B22"/>
    <mergeCell ref="G21:G22"/>
    <mergeCell ref="H21:H22"/>
    <mergeCell ref="I21:I22"/>
    <mergeCell ref="J21:J22"/>
  </mergeCells>
  <conditionalFormatting sqref="K9:K11 K23 K14:K20">
    <cfRule type="containsText" dxfId="305" priority="61" operator="containsText" text="Ineffective">
      <formula>NOT(ISERROR(SEARCH("Ineffective",K9)))</formula>
    </cfRule>
    <cfRule type="containsText" dxfId="304" priority="62" operator="containsText" text="Inconclusive">
      <formula>NOT(ISERROR(SEARCH("Inconclusive",K9)))</formula>
    </cfRule>
    <cfRule type="containsText" dxfId="303" priority="63" operator="containsText" text="Effective">
      <formula>NOT(ISERROR(SEARCH("Effective",K9)))</formula>
    </cfRule>
  </conditionalFormatting>
  <conditionalFormatting sqref="K10">
    <cfRule type="containsText" dxfId="302" priority="58" operator="containsText" text="Ineffective">
      <formula>NOT(ISERROR(SEARCH("Ineffective",K10)))</formula>
    </cfRule>
    <cfRule type="containsText" dxfId="301" priority="59" operator="containsText" text="Inconclusive">
      <formula>NOT(ISERROR(SEARCH("Inconclusive",K10)))</formula>
    </cfRule>
    <cfRule type="containsText" dxfId="300" priority="60" operator="containsText" text="Effective">
      <formula>NOT(ISERROR(SEARCH("Effective",K10)))</formula>
    </cfRule>
  </conditionalFormatting>
  <conditionalFormatting sqref="K11">
    <cfRule type="containsText" dxfId="299" priority="55" operator="containsText" text="Ineffective">
      <formula>NOT(ISERROR(SEARCH("Ineffective",K11)))</formula>
    </cfRule>
    <cfRule type="containsText" dxfId="298" priority="56" operator="containsText" text="Inconclusive">
      <formula>NOT(ISERROR(SEARCH("Inconclusive",K11)))</formula>
    </cfRule>
    <cfRule type="containsText" dxfId="297" priority="57" operator="containsText" text="Effective">
      <formula>NOT(ISERROR(SEARCH("Effective",K11)))</formula>
    </cfRule>
  </conditionalFormatting>
  <conditionalFormatting sqref="K14">
    <cfRule type="containsText" dxfId="296" priority="52" operator="containsText" text="Ineffective">
      <formula>NOT(ISERROR(SEARCH("Ineffective",K14)))</formula>
    </cfRule>
    <cfRule type="containsText" dxfId="295" priority="53" operator="containsText" text="Inconclusive">
      <formula>NOT(ISERROR(SEARCH("Inconclusive",K14)))</formula>
    </cfRule>
    <cfRule type="containsText" dxfId="294" priority="54" operator="containsText" text="Effective">
      <formula>NOT(ISERROR(SEARCH("Effective",K14)))</formula>
    </cfRule>
  </conditionalFormatting>
  <conditionalFormatting sqref="K17">
    <cfRule type="containsText" dxfId="293" priority="49" operator="containsText" text="Ineffective">
      <formula>NOT(ISERROR(SEARCH("Ineffective",K17)))</formula>
    </cfRule>
    <cfRule type="containsText" dxfId="292" priority="50" operator="containsText" text="Inconclusive">
      <formula>NOT(ISERROR(SEARCH("Inconclusive",K17)))</formula>
    </cfRule>
    <cfRule type="containsText" dxfId="291" priority="51" operator="containsText" text="Effective">
      <formula>NOT(ISERROR(SEARCH("Effective",K17)))</formula>
    </cfRule>
  </conditionalFormatting>
  <conditionalFormatting sqref="K18">
    <cfRule type="containsText" dxfId="290" priority="46" operator="containsText" text="Ineffective">
      <formula>NOT(ISERROR(SEARCH("Ineffective",K18)))</formula>
    </cfRule>
    <cfRule type="containsText" dxfId="289" priority="47" operator="containsText" text="Inconclusive">
      <formula>NOT(ISERROR(SEARCH("Inconclusive",K18)))</formula>
    </cfRule>
    <cfRule type="containsText" dxfId="288" priority="48" operator="containsText" text="Effective">
      <formula>NOT(ISERROR(SEARCH("Effective",K18)))</formula>
    </cfRule>
  </conditionalFormatting>
  <conditionalFormatting sqref="K9:K11 K23 K14:K20">
    <cfRule type="containsText" dxfId="287" priority="43" operator="containsText" text="ineffective">
      <formula>NOT(ISERROR(SEARCH("ineffective",K9)))</formula>
    </cfRule>
    <cfRule type="containsText" dxfId="286" priority="44" operator="containsText" text="Inconclusive">
      <formula>NOT(ISERROR(SEARCH("Inconclusive",K9)))</formula>
    </cfRule>
    <cfRule type="containsText" dxfId="285" priority="45" operator="containsText" text="TBD">
      <formula>NOT(ISERROR(SEARCH("TBD",K9)))</formula>
    </cfRule>
  </conditionalFormatting>
  <conditionalFormatting sqref="K15">
    <cfRule type="containsText" dxfId="284" priority="40" operator="containsText" text="Ineffective">
      <formula>NOT(ISERROR(SEARCH("Ineffective",K15)))</formula>
    </cfRule>
    <cfRule type="containsText" dxfId="283" priority="41" operator="containsText" text="Inconclusive">
      <formula>NOT(ISERROR(SEARCH("Inconclusive",K15)))</formula>
    </cfRule>
    <cfRule type="containsText" dxfId="282" priority="42" operator="containsText" text="Effective">
      <formula>NOT(ISERROR(SEARCH("Effective",K15)))</formula>
    </cfRule>
  </conditionalFormatting>
  <conditionalFormatting sqref="K16">
    <cfRule type="containsText" dxfId="281" priority="37" operator="containsText" text="Ineffective">
      <formula>NOT(ISERROR(SEARCH("Ineffective",K16)))</formula>
    </cfRule>
    <cfRule type="containsText" dxfId="280" priority="38" operator="containsText" text="Inconclusive">
      <formula>NOT(ISERROR(SEARCH("Inconclusive",K16)))</formula>
    </cfRule>
    <cfRule type="containsText" dxfId="279" priority="39" operator="containsText" text="Effective">
      <formula>NOT(ISERROR(SEARCH("Effective",K16)))</formula>
    </cfRule>
  </conditionalFormatting>
  <conditionalFormatting sqref="K23">
    <cfRule type="containsText" dxfId="278" priority="34" operator="containsText" text="Ineffective">
      <formula>NOT(ISERROR(SEARCH("Ineffective",K23)))</formula>
    </cfRule>
    <cfRule type="containsText" dxfId="277" priority="35" operator="containsText" text="Inconclusive">
      <formula>NOT(ISERROR(SEARCH("Inconclusive",K23)))</formula>
    </cfRule>
    <cfRule type="containsText" dxfId="276" priority="36" operator="containsText" text="Effective">
      <formula>NOT(ISERROR(SEARCH("Effective",K23)))</formula>
    </cfRule>
  </conditionalFormatting>
  <conditionalFormatting sqref="K13">
    <cfRule type="containsText" dxfId="275" priority="31" operator="containsText" text="Ineffective">
      <formula>NOT(ISERROR(SEARCH("Ineffective",K13)))</formula>
    </cfRule>
    <cfRule type="containsText" dxfId="274" priority="32" operator="containsText" text="Inconclusive">
      <formula>NOT(ISERROR(SEARCH("Inconclusive",K13)))</formula>
    </cfRule>
    <cfRule type="containsText" dxfId="273" priority="33" operator="containsText" text="Effective">
      <formula>NOT(ISERROR(SEARCH("Effective",K13)))</formula>
    </cfRule>
  </conditionalFormatting>
  <conditionalFormatting sqref="K13">
    <cfRule type="containsText" dxfId="272" priority="28" operator="containsText" text="ineffective">
      <formula>NOT(ISERROR(SEARCH("ineffective",K13)))</formula>
    </cfRule>
    <cfRule type="containsText" dxfId="271" priority="29" operator="containsText" text="Inconclusive">
      <formula>NOT(ISERROR(SEARCH("Inconclusive",K13)))</formula>
    </cfRule>
    <cfRule type="containsText" dxfId="270" priority="30" operator="containsText" text="TBD">
      <formula>NOT(ISERROR(SEARCH("TBD",K13)))</formula>
    </cfRule>
  </conditionalFormatting>
  <conditionalFormatting sqref="K13">
    <cfRule type="containsText" dxfId="269" priority="25" operator="containsText" text="Ineffective">
      <formula>NOT(ISERROR(SEARCH("Ineffective",K13)))</formula>
    </cfRule>
    <cfRule type="containsText" dxfId="268" priority="26" operator="containsText" text="Inconclusive">
      <formula>NOT(ISERROR(SEARCH("Inconclusive",K13)))</formula>
    </cfRule>
    <cfRule type="containsText" dxfId="267" priority="27" operator="containsText" text="Effective">
      <formula>NOT(ISERROR(SEARCH("Effective",K13)))</formula>
    </cfRule>
  </conditionalFormatting>
  <conditionalFormatting sqref="K24">
    <cfRule type="containsText" dxfId="266" priority="22" operator="containsText" text="Ineffective">
      <formula>NOT(ISERROR(SEARCH("Ineffective",K24)))</formula>
    </cfRule>
    <cfRule type="containsText" dxfId="265" priority="23" operator="containsText" text="Inconclusive">
      <formula>NOT(ISERROR(SEARCH("Inconclusive",K24)))</formula>
    </cfRule>
    <cfRule type="containsText" dxfId="264" priority="24" operator="containsText" text="Effective">
      <formula>NOT(ISERROR(SEARCH("Effective",K24)))</formula>
    </cfRule>
  </conditionalFormatting>
  <conditionalFormatting sqref="K24">
    <cfRule type="containsText" dxfId="263" priority="19" operator="containsText" text="ineffective">
      <formula>NOT(ISERROR(SEARCH("ineffective",K24)))</formula>
    </cfRule>
    <cfRule type="containsText" dxfId="262" priority="20" operator="containsText" text="Inconclusive">
      <formula>NOT(ISERROR(SEARCH("Inconclusive",K24)))</formula>
    </cfRule>
    <cfRule type="containsText" dxfId="261" priority="21" operator="containsText" text="TBD">
      <formula>NOT(ISERROR(SEARCH("TBD",K24)))</formula>
    </cfRule>
  </conditionalFormatting>
  <conditionalFormatting sqref="K24">
    <cfRule type="containsText" dxfId="260" priority="16" operator="containsText" text="Ineffective">
      <formula>NOT(ISERROR(SEARCH("Ineffective",K24)))</formula>
    </cfRule>
    <cfRule type="containsText" dxfId="259" priority="17" operator="containsText" text="Inconclusive">
      <formula>NOT(ISERROR(SEARCH("Inconclusive",K24)))</formula>
    </cfRule>
    <cfRule type="containsText" dxfId="258" priority="18" operator="containsText" text="Effective">
      <formula>NOT(ISERROR(SEARCH("Effective",K24)))</formula>
    </cfRule>
  </conditionalFormatting>
  <conditionalFormatting sqref="K21">
    <cfRule type="containsText" dxfId="257" priority="13" operator="containsText" text="Ineffective">
      <formula>NOT(ISERROR(SEARCH("Ineffective",K21)))</formula>
    </cfRule>
    <cfRule type="containsText" dxfId="256" priority="14" operator="containsText" text="Inconclusive">
      <formula>NOT(ISERROR(SEARCH("Inconclusive",K21)))</formula>
    </cfRule>
    <cfRule type="containsText" dxfId="255" priority="15" operator="containsText" text="Effective">
      <formula>NOT(ISERROR(SEARCH("Effective",K21)))</formula>
    </cfRule>
  </conditionalFormatting>
  <conditionalFormatting sqref="K21">
    <cfRule type="containsText" dxfId="254" priority="10" operator="containsText" text="ineffective">
      <formula>NOT(ISERROR(SEARCH("ineffective",K21)))</formula>
    </cfRule>
    <cfRule type="containsText" dxfId="253" priority="11" operator="containsText" text="Inconclusive">
      <formula>NOT(ISERROR(SEARCH("Inconclusive",K21)))</formula>
    </cfRule>
    <cfRule type="containsText" dxfId="252" priority="12" operator="containsText" text="TBD">
      <formula>NOT(ISERROR(SEARCH("TBD",K21)))</formula>
    </cfRule>
  </conditionalFormatting>
  <conditionalFormatting sqref="K12">
    <cfRule type="containsText" dxfId="251" priority="7" operator="containsText" text="Ineffective">
      <formula>NOT(ISERROR(SEARCH("Ineffective",K12)))</formula>
    </cfRule>
    <cfRule type="containsText" dxfId="250" priority="8" operator="containsText" text="Inconclusive">
      <formula>NOT(ISERROR(SEARCH("Inconclusive",K12)))</formula>
    </cfRule>
    <cfRule type="containsText" dxfId="249" priority="9" operator="containsText" text="Effective">
      <formula>NOT(ISERROR(SEARCH("Effective",K12)))</formula>
    </cfRule>
  </conditionalFormatting>
  <conditionalFormatting sqref="K12">
    <cfRule type="containsText" dxfId="248" priority="4" operator="containsText" text="ineffective">
      <formula>NOT(ISERROR(SEARCH("ineffective",K12)))</formula>
    </cfRule>
    <cfRule type="containsText" dxfId="247" priority="5" operator="containsText" text="Inconclusive">
      <formula>NOT(ISERROR(SEARCH("Inconclusive",K12)))</formula>
    </cfRule>
    <cfRule type="containsText" dxfId="246" priority="6" operator="containsText" text="TBD">
      <formula>NOT(ISERROR(SEARCH("TBD",K12)))</formula>
    </cfRule>
  </conditionalFormatting>
  <conditionalFormatting sqref="K12">
    <cfRule type="containsText" dxfId="245" priority="1" operator="containsText" text="Ineffective">
      <formula>NOT(ISERROR(SEARCH("Ineffective",K12)))</formula>
    </cfRule>
    <cfRule type="containsText" dxfId="244" priority="2" operator="containsText" text="Inconclusive">
      <formula>NOT(ISERROR(SEARCH("Inconclusive",K12)))</formula>
    </cfRule>
    <cfRule type="containsText" dxfId="243" priority="3" operator="containsText" text="Effective">
      <formula>NOT(ISERROR(SEARCH("Effective",K12)))</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ommandButton1">
          <controlPr defaultSize="0" autoLine="0" r:id="rId5">
            <anchor moveWithCells="1">
              <from>
                <xdr:col>1</xdr:col>
                <xdr:colOff>638175</xdr:colOff>
                <xdr:row>0</xdr:row>
                <xdr:rowOff>0</xdr:rowOff>
              </from>
              <to>
                <xdr:col>1</xdr:col>
                <xdr:colOff>1838325</xdr:colOff>
                <xdr:row>1</xdr:row>
                <xdr:rowOff>85725</xdr:rowOff>
              </to>
            </anchor>
          </controlPr>
        </control>
      </mc:Choice>
      <mc:Fallback>
        <control shapeId="7170" r:id="rId4" name="CommandButton1"/>
      </mc:Fallback>
    </mc:AlternateContent>
    <mc:AlternateContent xmlns:mc="http://schemas.openxmlformats.org/markup-compatibility/2006">
      <mc:Choice Requires="x14">
        <control shapeId="7169" r:id="rId6" name="backMenuBtn">
          <controlPr defaultSize="0" autoLine="0" r:id="rId7">
            <anchor moveWithCells="1">
              <from>
                <xdr:col>0</xdr:col>
                <xdr:colOff>0</xdr:colOff>
                <xdr:row>0</xdr:row>
                <xdr:rowOff>0</xdr:rowOff>
              </from>
              <to>
                <xdr:col>1</xdr:col>
                <xdr:colOff>495300</xdr:colOff>
                <xdr:row>1</xdr:row>
                <xdr:rowOff>95250</xdr:rowOff>
              </to>
            </anchor>
          </controlPr>
        </control>
      </mc:Choice>
      <mc:Fallback>
        <control shapeId="7169" r:id="rId6" name="backMenuBtn"/>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Dropdown!$H$2:$H$13</xm:f>
          </x14:formula1>
          <xm:sqref>K9:K24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499984740745262"/>
  </sheetPr>
  <dimension ref="A1:I15"/>
  <sheetViews>
    <sheetView workbookViewId="0">
      <selection activeCell="C26" sqref="C26"/>
    </sheetView>
  </sheetViews>
  <sheetFormatPr defaultRowHeight="15" x14ac:dyDescent="0.25"/>
  <cols>
    <col min="1" max="1" width="30.85546875" customWidth="1"/>
    <col min="2" max="2" width="20.85546875" customWidth="1"/>
    <col min="3" max="4" width="30.85546875" customWidth="1"/>
    <col min="5" max="7" width="20.85546875" customWidth="1"/>
    <col min="8" max="8" width="39.7109375" bestFit="1" customWidth="1"/>
  </cols>
  <sheetData>
    <row r="1" spans="1:9" s="256" customFormat="1" ht="27" thickBot="1" x14ac:dyDescent="0.3">
      <c r="A1" s="258" t="s">
        <v>254</v>
      </c>
      <c r="B1" s="258" t="s">
        <v>321</v>
      </c>
      <c r="C1" s="258" t="s">
        <v>256</v>
      </c>
      <c r="D1" s="258" t="s">
        <v>257</v>
      </c>
      <c r="E1" s="258" t="s">
        <v>258</v>
      </c>
      <c r="F1" s="258" t="s">
        <v>259</v>
      </c>
      <c r="G1" s="258" t="s">
        <v>368</v>
      </c>
      <c r="H1" s="259" t="s">
        <v>369</v>
      </c>
      <c r="I1" s="259" t="s">
        <v>370</v>
      </c>
    </row>
    <row r="2" spans="1:9" x14ac:dyDescent="0.25">
      <c r="A2" s="260" t="s">
        <v>371</v>
      </c>
      <c r="B2" s="260" t="s">
        <v>276</v>
      </c>
      <c r="C2" s="260" t="s">
        <v>372</v>
      </c>
      <c r="D2" s="260" t="s">
        <v>278</v>
      </c>
      <c r="E2" s="260" t="s">
        <v>279</v>
      </c>
      <c r="F2" s="260" t="s">
        <v>373</v>
      </c>
      <c r="G2" s="260" t="s">
        <v>279</v>
      </c>
      <c r="H2" s="260" t="s">
        <v>330</v>
      </c>
      <c r="I2" s="261" t="s">
        <v>279</v>
      </c>
    </row>
    <row r="3" spans="1:9" x14ac:dyDescent="0.25">
      <c r="A3" s="260" t="s">
        <v>374</v>
      </c>
      <c r="B3" s="260" t="s">
        <v>289</v>
      </c>
      <c r="C3" s="260" t="s">
        <v>375</v>
      </c>
      <c r="D3" s="260" t="s">
        <v>313</v>
      </c>
      <c r="E3" s="260" t="s">
        <v>281</v>
      </c>
      <c r="F3" s="260" t="s">
        <v>280</v>
      </c>
      <c r="G3" s="260" t="s">
        <v>281</v>
      </c>
      <c r="H3" s="260" t="s">
        <v>376</v>
      </c>
      <c r="I3" s="261" t="s">
        <v>281</v>
      </c>
    </row>
    <row r="4" spans="1:9" x14ac:dyDescent="0.25">
      <c r="A4" s="260" t="s">
        <v>377</v>
      </c>
      <c r="B4" s="260"/>
      <c r="C4" s="260" t="s">
        <v>378</v>
      </c>
      <c r="D4" s="260" t="s">
        <v>379</v>
      </c>
      <c r="E4" s="260"/>
      <c r="F4" s="260" t="s">
        <v>284</v>
      </c>
      <c r="G4" s="260"/>
      <c r="H4" s="260" t="s">
        <v>380</v>
      </c>
      <c r="I4" s="261" t="s">
        <v>336</v>
      </c>
    </row>
    <row r="5" spans="1:9" x14ac:dyDescent="0.25">
      <c r="A5" s="260" t="s">
        <v>381</v>
      </c>
      <c r="B5" s="260"/>
      <c r="C5" s="260" t="s">
        <v>382</v>
      </c>
      <c r="D5" s="260" t="s">
        <v>383</v>
      </c>
      <c r="E5" s="260"/>
      <c r="F5" s="260"/>
      <c r="G5" s="260"/>
      <c r="H5" s="260" t="s">
        <v>384</v>
      </c>
      <c r="I5" s="262"/>
    </row>
    <row r="6" spans="1:9" x14ac:dyDescent="0.25">
      <c r="A6" s="260" t="s">
        <v>293</v>
      </c>
      <c r="B6" s="260"/>
      <c r="C6" s="260"/>
      <c r="D6" s="260"/>
      <c r="E6" s="260"/>
      <c r="F6" s="260"/>
      <c r="G6" s="260"/>
      <c r="H6" s="260" t="s">
        <v>385</v>
      </c>
      <c r="I6" s="262"/>
    </row>
    <row r="7" spans="1:9" x14ac:dyDescent="0.25">
      <c r="A7" s="260" t="s">
        <v>297</v>
      </c>
      <c r="B7" s="260"/>
      <c r="C7" s="260"/>
      <c r="D7" s="260"/>
      <c r="E7" s="260"/>
      <c r="F7" s="260"/>
      <c r="G7" s="260"/>
      <c r="H7" s="260" t="s">
        <v>386</v>
      </c>
      <c r="I7" s="262"/>
    </row>
    <row r="8" spans="1:9" x14ac:dyDescent="0.25">
      <c r="A8" s="260" t="s">
        <v>387</v>
      </c>
      <c r="B8" s="260"/>
      <c r="C8" s="260"/>
      <c r="D8" s="260"/>
      <c r="E8" s="260"/>
      <c r="F8" s="260"/>
      <c r="G8" s="260"/>
      <c r="H8" s="260" t="s">
        <v>338</v>
      </c>
      <c r="I8" s="262"/>
    </row>
    <row r="9" spans="1:9" x14ac:dyDescent="0.25">
      <c r="A9" s="260" t="s">
        <v>388</v>
      </c>
      <c r="B9" s="260"/>
      <c r="C9" s="260"/>
      <c r="D9" s="260"/>
      <c r="E9" s="260"/>
      <c r="F9" s="260"/>
      <c r="G9" s="260"/>
      <c r="H9" s="260" t="s">
        <v>389</v>
      </c>
      <c r="I9" s="262"/>
    </row>
    <row r="10" spans="1:9" x14ac:dyDescent="0.25">
      <c r="A10" s="260" t="s">
        <v>288</v>
      </c>
      <c r="B10" s="260"/>
      <c r="C10" s="260"/>
      <c r="D10" s="260"/>
      <c r="E10" s="260"/>
      <c r="F10" s="260"/>
      <c r="G10" s="260"/>
      <c r="H10" s="260" t="s">
        <v>390</v>
      </c>
      <c r="I10" s="262"/>
    </row>
    <row r="11" spans="1:9" x14ac:dyDescent="0.25">
      <c r="A11" s="260" t="s">
        <v>391</v>
      </c>
      <c r="B11" s="260"/>
      <c r="C11" s="260"/>
      <c r="D11" s="260"/>
      <c r="E11" s="260"/>
      <c r="F11" s="260"/>
      <c r="G11" s="260"/>
      <c r="H11" s="260" t="s">
        <v>392</v>
      </c>
      <c r="I11" s="262"/>
    </row>
    <row r="12" spans="1:9" x14ac:dyDescent="0.25">
      <c r="A12" s="260"/>
      <c r="B12" s="260"/>
      <c r="C12" s="260"/>
      <c r="D12" s="260"/>
      <c r="E12" s="260"/>
      <c r="F12" s="260"/>
      <c r="G12" s="260"/>
      <c r="H12" s="260"/>
      <c r="I12" s="262"/>
    </row>
    <row r="13" spans="1:9" ht="15.75" thickBot="1" x14ac:dyDescent="0.3">
      <c r="A13" s="263"/>
      <c r="B13" s="263"/>
      <c r="C13" s="263"/>
      <c r="D13" s="263"/>
      <c r="E13" s="263"/>
      <c r="F13" s="263"/>
      <c r="G13" s="263"/>
      <c r="H13" s="263"/>
      <c r="I13" s="264"/>
    </row>
    <row r="15" spans="1:9" ht="28.5" x14ac:dyDescent="0.45">
      <c r="B15" s="265" t="s">
        <v>393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pageSetUpPr fitToPage="1"/>
  </sheetPr>
  <dimension ref="A1:I134"/>
  <sheetViews>
    <sheetView showGridLines="0" zoomScale="85" zoomScaleNormal="85" zoomScalePageLayoutView="60" workbookViewId="0">
      <pane xSplit="2" ySplit="12" topLeftCell="C21" activePane="bottomRight" state="frozen"/>
      <selection activeCell="C156" sqref="C156"/>
      <selection pane="topRight" activeCell="C156" sqref="C156"/>
      <selection pane="bottomLeft" activeCell="C156" sqref="C156"/>
      <selection pane="bottomRight" activeCell="C156" sqref="C156"/>
    </sheetView>
  </sheetViews>
  <sheetFormatPr defaultColWidth="9.42578125" defaultRowHeight="12.75" customHeight="1" outlineLevelRow="1" x14ac:dyDescent="0.2"/>
  <cols>
    <col min="1" max="8" width="30.5703125" style="267" customWidth="1"/>
    <col min="9" max="9" width="1.5703125" style="267" customWidth="1"/>
    <col min="10" max="16384" width="9.42578125" style="267"/>
  </cols>
  <sheetData>
    <row r="1" spans="1:8" ht="12.75" customHeight="1" x14ac:dyDescent="0.2">
      <c r="A1" s="267" t="s">
        <v>1</v>
      </c>
    </row>
    <row r="3" spans="1:8" ht="12.75" customHeight="1" outlineLevel="1" x14ac:dyDescent="0.2">
      <c r="A3" s="266" t="str">
        <f>Narrative!A3</f>
        <v>ViewRay</v>
      </c>
    </row>
    <row r="4" spans="1:8" ht="12.75" customHeight="1" outlineLevel="1" x14ac:dyDescent="0.2">
      <c r="A4" s="268" t="s">
        <v>394</v>
      </c>
    </row>
    <row r="5" spans="1:8" ht="12.75" customHeight="1" outlineLevel="1" x14ac:dyDescent="0.2">
      <c r="A5" s="266" t="str">
        <f>Narrative!A5</f>
        <v>Financial Close and Reporting (FCR)</v>
      </c>
    </row>
    <row r="6" spans="1:8" ht="12.75" customHeight="1" outlineLevel="1" x14ac:dyDescent="0.2">
      <c r="A6" s="266" t="str">
        <f>Narrative!A6</f>
        <v>FY 2019</v>
      </c>
    </row>
    <row r="7" spans="1:8" ht="12.75" customHeight="1" outlineLevel="1" x14ac:dyDescent="0.2">
      <c r="A7" s="269"/>
      <c r="B7" s="269"/>
      <c r="C7" s="270"/>
      <c r="D7" s="270"/>
      <c r="E7" s="270"/>
      <c r="F7" s="270"/>
      <c r="G7" s="270"/>
      <c r="H7" s="271"/>
    </row>
    <row r="8" spans="1:8" ht="12.75" customHeight="1" x14ac:dyDescent="0.2">
      <c r="A8" s="473" t="s">
        <v>395</v>
      </c>
      <c r="B8" s="474"/>
      <c r="C8" s="470" t="str">
        <f>RCM!A11</f>
        <v>FCR</v>
      </c>
      <c r="D8" s="471"/>
      <c r="E8" s="471"/>
      <c r="F8" s="471"/>
      <c r="G8" s="471"/>
      <c r="H8" s="472"/>
    </row>
    <row r="9" spans="1:8" ht="12.75" customHeight="1" x14ac:dyDescent="0.2">
      <c r="A9" s="466" t="s">
        <v>396</v>
      </c>
      <c r="B9" s="475"/>
      <c r="C9" s="470" t="str">
        <f>VLOOKUP($C$10,RCM!J:X,4,0)</f>
        <v>Corporate Controller</v>
      </c>
      <c r="D9" s="471"/>
      <c r="E9" s="471"/>
      <c r="F9" s="471"/>
      <c r="G9" s="471"/>
      <c r="H9" s="472"/>
    </row>
    <row r="10" spans="1:8" ht="12.75" customHeight="1" x14ac:dyDescent="0.2">
      <c r="A10" s="459" t="s">
        <v>397</v>
      </c>
      <c r="B10" s="476"/>
      <c r="C10" s="470" t="str">
        <f>RCM!J10</f>
        <v>FCR 1.02</v>
      </c>
      <c r="D10" s="471"/>
      <c r="E10" s="471"/>
      <c r="F10" s="471"/>
      <c r="G10" s="471"/>
      <c r="H10" s="472"/>
    </row>
    <row r="11" spans="1:8" ht="12.75" customHeight="1" x14ac:dyDescent="0.2">
      <c r="A11" s="459" t="s">
        <v>398</v>
      </c>
      <c r="B11" s="459"/>
      <c r="C11" s="460" t="str">
        <f>VLOOKUP($C$10,RCM!J:X,2,0)</f>
        <v>All requests for Chart of Accounts additions, modifications, and deletions are approved by the Corporate Controller for approval.  Approval is evidenced by email.</v>
      </c>
      <c r="D11" s="461"/>
      <c r="E11" s="461"/>
      <c r="F11" s="461"/>
      <c r="G11" s="461"/>
      <c r="H11" s="462"/>
    </row>
    <row r="12" spans="1:8" ht="12.75" customHeight="1" x14ac:dyDescent="0.2">
      <c r="A12" s="459"/>
      <c r="B12" s="459"/>
      <c r="C12" s="463" t="e">
        <v>#N/A</v>
      </c>
      <c r="D12" s="464"/>
      <c r="E12" s="464"/>
      <c r="F12" s="464"/>
      <c r="G12" s="464"/>
      <c r="H12" s="465"/>
    </row>
    <row r="13" spans="1:8" ht="12.75" customHeight="1" x14ac:dyDescent="0.2">
      <c r="A13" s="272"/>
      <c r="B13" s="273"/>
      <c r="C13" s="274"/>
      <c r="D13" s="274"/>
      <c r="E13" s="274"/>
      <c r="F13" s="274"/>
      <c r="G13" s="274"/>
      <c r="H13" s="271"/>
    </row>
    <row r="14" spans="1:8" ht="12.75" customHeight="1" x14ac:dyDescent="0.2">
      <c r="A14" s="466" t="s">
        <v>399</v>
      </c>
      <c r="B14" s="466"/>
      <c r="C14" s="460" t="str">
        <f>VLOOKUP($C$10,RCM!J:X,12,0)</f>
        <v>1. Obtain a QAD listing of COA changes during the testing period and make a sample selection.
2. Verify the Corporate Controller reviewed and approved the addition/change against supporting documentation or reasons for change prior to the setup.
3. Verify COA setup agrees back to what was approved by the Controller.</v>
      </c>
      <c r="D14" s="461"/>
      <c r="E14" s="461"/>
      <c r="F14" s="461"/>
      <c r="G14" s="461"/>
      <c r="H14" s="462"/>
    </row>
    <row r="15" spans="1:8" ht="12.75" customHeight="1" x14ac:dyDescent="0.2">
      <c r="A15" s="466"/>
      <c r="B15" s="466"/>
      <c r="C15" s="467"/>
      <c r="D15" s="468"/>
      <c r="E15" s="468"/>
      <c r="F15" s="468"/>
      <c r="G15" s="468"/>
      <c r="H15" s="469"/>
    </row>
    <row r="16" spans="1:8" ht="12.75" customHeight="1" x14ac:dyDescent="0.2">
      <c r="A16" s="466"/>
      <c r="B16" s="466"/>
      <c r="C16" s="467"/>
      <c r="D16" s="468"/>
      <c r="E16" s="468"/>
      <c r="F16" s="468"/>
      <c r="G16" s="468"/>
      <c r="H16" s="469"/>
    </row>
    <row r="17" spans="1:9" ht="12.75" customHeight="1" x14ac:dyDescent="0.2">
      <c r="A17" s="466"/>
      <c r="B17" s="466"/>
      <c r="C17" s="463" t="e">
        <v>#N/A</v>
      </c>
      <c r="D17" s="464"/>
      <c r="E17" s="464"/>
      <c r="F17" s="464"/>
      <c r="G17" s="464"/>
      <c r="H17" s="465"/>
    </row>
    <row r="18" spans="1:9" ht="12.75" customHeight="1" x14ac:dyDescent="0.2">
      <c r="A18" s="466" t="s">
        <v>400</v>
      </c>
      <c r="B18" s="466"/>
      <c r="C18" s="470" t="str">
        <f>VLOOKUP($C$10,RCM!J:X,8,0)</f>
        <v>Inspection</v>
      </c>
      <c r="D18" s="471"/>
      <c r="E18" s="471"/>
      <c r="F18" s="471"/>
      <c r="G18" s="471"/>
      <c r="H18" s="472"/>
    </row>
    <row r="19" spans="1:9" ht="12.75" customHeight="1" x14ac:dyDescent="0.2">
      <c r="A19" s="466" t="s">
        <v>401</v>
      </c>
      <c r="B19" s="475"/>
      <c r="C19" s="470" t="str">
        <f>VLOOKUP($C$10,RCM!J:X,5,0)</f>
        <v>Transactional</v>
      </c>
      <c r="D19" s="471"/>
      <c r="E19" s="471"/>
      <c r="F19" s="471"/>
      <c r="G19" s="471"/>
      <c r="H19" s="472"/>
    </row>
    <row r="20" spans="1:9" ht="12.75" customHeight="1" x14ac:dyDescent="0.2">
      <c r="A20" s="466" t="s">
        <v>402</v>
      </c>
      <c r="B20" s="475"/>
      <c r="C20" s="486">
        <f>VLOOKUP($C$10,RCM!J:X,3,0)</f>
        <v>42186</v>
      </c>
      <c r="D20" s="487"/>
      <c r="E20" s="487"/>
      <c r="F20" s="487"/>
      <c r="G20" s="487"/>
      <c r="H20" s="488"/>
    </row>
    <row r="21" spans="1:9" s="275" customFormat="1" ht="12.75" customHeight="1" x14ac:dyDescent="0.2">
      <c r="A21" s="466" t="s">
        <v>403</v>
      </c>
      <c r="B21" s="475"/>
      <c r="C21" s="470" t="str">
        <f>VLOOKUP($C$10,RCM!J:X,10,0)</f>
        <v xml:space="preserve">Medium </v>
      </c>
      <c r="D21" s="471"/>
      <c r="E21" s="471"/>
      <c r="F21" s="471"/>
      <c r="G21" s="471"/>
      <c r="H21" s="472"/>
    </row>
    <row r="22" spans="1:9" ht="12.75" customHeight="1" x14ac:dyDescent="0.2">
      <c r="A22" s="466" t="s">
        <v>404</v>
      </c>
      <c r="B22" s="475"/>
      <c r="C22" s="477" t="str">
        <f>RCM!$AB$3</f>
        <v>1/1/19 - 6/30/19</v>
      </c>
      <c r="D22" s="478"/>
      <c r="E22" s="478"/>
      <c r="F22" s="478"/>
      <c r="G22" s="478"/>
      <c r="H22" s="479"/>
    </row>
    <row r="23" spans="1:9" ht="12.75" customHeight="1" x14ac:dyDescent="0.2">
      <c r="A23" s="466" t="s">
        <v>405</v>
      </c>
      <c r="B23" s="475"/>
      <c r="C23" s="480" t="str">
        <f>VLOOKUP(C$10,RCM!$J$9:$AG$29,19,0)&amp;" "&amp;RCM!$AB$4&amp;" "&amp;VLOOKUP(C$10,RCM!$J$9:$AG$29,20,0)</f>
        <v>15 occurances 1/1/19 - 6/30/19; thus annualized population of 30</v>
      </c>
      <c r="D23" s="481"/>
      <c r="E23" s="481"/>
      <c r="F23" s="481"/>
      <c r="G23" s="481"/>
      <c r="H23" s="482"/>
      <c r="I23" s="276">
        <v>0</v>
      </c>
    </row>
    <row r="24" spans="1:9" ht="12.75" customHeight="1" x14ac:dyDescent="0.2">
      <c r="A24" s="466" t="s">
        <v>406</v>
      </c>
      <c r="B24" s="475"/>
      <c r="C24" s="483" t="str">
        <f>RCM!$AB$5&amp;" "&amp;VLOOKUP(C$10,RCM!$J$9:$AG$29,21,0)&amp;" "&amp;RCM!$AB$6</f>
        <v>Annual sample size: 5 (See sample size derivation below)</v>
      </c>
      <c r="D24" s="484"/>
      <c r="E24" s="484"/>
      <c r="F24" s="484"/>
      <c r="G24" s="484"/>
      <c r="H24" s="485"/>
    </row>
    <row r="25" spans="1:9" ht="12.75" customHeight="1" x14ac:dyDescent="0.2">
      <c r="A25" s="489" t="s">
        <v>407</v>
      </c>
      <c r="B25" s="490"/>
      <c r="C25" s="495" t="s">
        <v>408</v>
      </c>
      <c r="D25" s="496"/>
      <c r="E25" s="496"/>
      <c r="F25" s="496"/>
      <c r="G25" s="496"/>
      <c r="H25" s="497"/>
    </row>
    <row r="26" spans="1:9" ht="12.75" customHeight="1" x14ac:dyDescent="0.2">
      <c r="A26" s="491"/>
      <c r="B26" s="492"/>
      <c r="C26" s="498"/>
      <c r="D26" s="499"/>
      <c r="E26" s="499"/>
      <c r="F26" s="499"/>
      <c r="G26" s="499"/>
      <c r="H26" s="500"/>
    </row>
    <row r="27" spans="1:9" ht="12.75" customHeight="1" x14ac:dyDescent="0.2">
      <c r="A27" s="491"/>
      <c r="B27" s="492"/>
      <c r="C27" s="498"/>
      <c r="D27" s="499"/>
      <c r="E27" s="499"/>
      <c r="F27" s="499"/>
      <c r="G27" s="499"/>
      <c r="H27" s="500"/>
    </row>
    <row r="28" spans="1:9" ht="12.75" customHeight="1" x14ac:dyDescent="0.2">
      <c r="A28" s="491"/>
      <c r="B28" s="492"/>
      <c r="C28" s="498"/>
      <c r="D28" s="499"/>
      <c r="E28" s="499"/>
      <c r="F28" s="499"/>
      <c r="G28" s="499"/>
      <c r="H28" s="500"/>
    </row>
    <row r="29" spans="1:9" ht="12.75" customHeight="1" x14ac:dyDescent="0.2">
      <c r="A29" s="491"/>
      <c r="B29" s="492"/>
      <c r="C29" s="498"/>
      <c r="D29" s="499"/>
      <c r="E29" s="499"/>
      <c r="F29" s="499"/>
      <c r="G29" s="499"/>
      <c r="H29" s="500"/>
    </row>
    <row r="30" spans="1:9" ht="12.75" customHeight="1" x14ac:dyDescent="0.2">
      <c r="A30" s="491"/>
      <c r="B30" s="492"/>
      <c r="C30" s="498"/>
      <c r="D30" s="499"/>
      <c r="E30" s="499"/>
      <c r="F30" s="499"/>
      <c r="G30" s="499"/>
      <c r="H30" s="500"/>
    </row>
    <row r="31" spans="1:9" ht="12.75" customHeight="1" x14ac:dyDescent="0.2">
      <c r="A31" s="491"/>
      <c r="B31" s="492"/>
      <c r="C31" s="498"/>
      <c r="D31" s="499"/>
      <c r="E31" s="499"/>
      <c r="F31" s="499"/>
      <c r="G31" s="499"/>
      <c r="H31" s="500"/>
    </row>
    <row r="32" spans="1:9" ht="12.75" customHeight="1" x14ac:dyDescent="0.2">
      <c r="A32" s="491"/>
      <c r="B32" s="492"/>
      <c r="C32" s="498"/>
      <c r="D32" s="499"/>
      <c r="E32" s="499"/>
      <c r="F32" s="499"/>
      <c r="G32" s="499"/>
      <c r="H32" s="500"/>
    </row>
    <row r="33" spans="1:8" ht="12.75" customHeight="1" x14ac:dyDescent="0.2">
      <c r="A33" s="491"/>
      <c r="B33" s="492"/>
      <c r="C33" s="498"/>
      <c r="D33" s="499"/>
      <c r="E33" s="499"/>
      <c r="F33" s="499"/>
      <c r="G33" s="499"/>
      <c r="H33" s="500"/>
    </row>
    <row r="34" spans="1:8" ht="12.75" customHeight="1" x14ac:dyDescent="0.2">
      <c r="A34" s="491"/>
      <c r="B34" s="492"/>
      <c r="C34" s="498"/>
      <c r="D34" s="499"/>
      <c r="E34" s="499"/>
      <c r="F34" s="499"/>
      <c r="G34" s="499"/>
      <c r="H34" s="500"/>
    </row>
    <row r="35" spans="1:8" ht="12.75" customHeight="1" x14ac:dyDescent="0.2">
      <c r="A35" s="491"/>
      <c r="B35" s="492"/>
      <c r="C35" s="498"/>
      <c r="D35" s="499"/>
      <c r="E35" s="499"/>
      <c r="F35" s="499"/>
      <c r="G35" s="499"/>
      <c r="H35" s="500"/>
    </row>
    <row r="36" spans="1:8" s="275" customFormat="1" ht="12.75" customHeight="1" x14ac:dyDescent="0.2">
      <c r="A36" s="493"/>
      <c r="B36" s="494"/>
      <c r="C36" s="501"/>
      <c r="D36" s="502"/>
      <c r="E36" s="502"/>
      <c r="F36" s="502"/>
      <c r="G36" s="502"/>
      <c r="H36" s="503"/>
    </row>
    <row r="37" spans="1:8" ht="12.75" customHeight="1" x14ac:dyDescent="0.2">
      <c r="A37" s="277"/>
      <c r="B37" s="277"/>
      <c r="C37" s="278"/>
      <c r="D37" s="278"/>
      <c r="E37" s="278"/>
      <c r="F37" s="278"/>
      <c r="G37" s="278"/>
      <c r="H37" s="278"/>
    </row>
    <row r="38" spans="1:8" ht="12.75" customHeight="1" x14ac:dyDescent="0.2">
      <c r="A38" s="279"/>
      <c r="B38" s="279"/>
      <c r="C38" s="504" t="s">
        <v>409</v>
      </c>
      <c r="D38" s="505"/>
      <c r="E38" s="506" t="s">
        <v>410</v>
      </c>
      <c r="F38" s="507"/>
      <c r="G38" s="506" t="s">
        <v>411</v>
      </c>
      <c r="H38" s="507"/>
    </row>
    <row r="39" spans="1:8" ht="12.75" customHeight="1" x14ac:dyDescent="0.2">
      <c r="A39" s="508" t="s">
        <v>412</v>
      </c>
      <c r="B39" s="509"/>
      <c r="C39" s="510">
        <f>VLOOKUP($C$10,RCM!$J$9:$AG$29,22,0)</f>
        <v>3</v>
      </c>
      <c r="D39" s="511"/>
      <c r="E39" s="510">
        <f>VLOOKUP($C$10,RCM!$J$9:$AG$29,23,0)</f>
        <v>1</v>
      </c>
      <c r="F39" s="511"/>
      <c r="G39" s="510">
        <f>VLOOKUP($C$10,RCM!$J$9:$AG$29,24,0)</f>
        <v>1</v>
      </c>
      <c r="H39" s="511"/>
    </row>
    <row r="40" spans="1:8" ht="12.75" hidden="1" customHeight="1" outlineLevel="1" x14ac:dyDescent="0.2">
      <c r="A40" s="523" t="s">
        <v>413</v>
      </c>
      <c r="B40" s="524"/>
      <c r="C40" s="529" t="s">
        <v>414</v>
      </c>
      <c r="D40" s="530"/>
      <c r="E40" s="529"/>
      <c r="F40" s="530"/>
      <c r="G40" s="529"/>
      <c r="H40" s="535"/>
    </row>
    <row r="41" spans="1:8" ht="12.75" hidden="1" customHeight="1" outlineLevel="1" x14ac:dyDescent="0.2">
      <c r="A41" s="525"/>
      <c r="B41" s="526"/>
      <c r="C41" s="531"/>
      <c r="D41" s="532"/>
      <c r="E41" s="531"/>
      <c r="F41" s="532"/>
      <c r="G41" s="536"/>
      <c r="H41" s="537"/>
    </row>
    <row r="42" spans="1:8" ht="12.75" hidden="1" customHeight="1" outlineLevel="1" x14ac:dyDescent="0.2">
      <c r="A42" s="525"/>
      <c r="B42" s="526"/>
      <c r="C42" s="531"/>
      <c r="D42" s="532"/>
      <c r="E42" s="531"/>
      <c r="F42" s="532"/>
      <c r="G42" s="536"/>
      <c r="H42" s="537"/>
    </row>
    <row r="43" spans="1:8" ht="12.75" hidden="1" customHeight="1" outlineLevel="1" x14ac:dyDescent="0.2">
      <c r="A43" s="525"/>
      <c r="B43" s="526"/>
      <c r="C43" s="531"/>
      <c r="D43" s="532"/>
      <c r="E43" s="531"/>
      <c r="F43" s="532"/>
      <c r="G43" s="536"/>
      <c r="H43" s="537"/>
    </row>
    <row r="44" spans="1:8" ht="12.75" hidden="1" customHeight="1" outlineLevel="1" x14ac:dyDescent="0.2">
      <c r="A44" s="525"/>
      <c r="B44" s="526"/>
      <c r="C44" s="531"/>
      <c r="D44" s="532"/>
      <c r="E44" s="531"/>
      <c r="F44" s="532"/>
      <c r="G44" s="536"/>
      <c r="H44" s="537"/>
    </row>
    <row r="45" spans="1:8" ht="12.75" hidden="1" customHeight="1" outlineLevel="1" x14ac:dyDescent="0.2">
      <c r="A45" s="525"/>
      <c r="B45" s="526"/>
      <c r="C45" s="531"/>
      <c r="D45" s="532"/>
      <c r="E45" s="531"/>
      <c r="F45" s="532"/>
      <c r="G45" s="536"/>
      <c r="H45" s="537"/>
    </row>
    <row r="46" spans="1:8" ht="12.75" hidden="1" customHeight="1" outlineLevel="1" x14ac:dyDescent="0.2">
      <c r="A46" s="525"/>
      <c r="B46" s="526"/>
      <c r="C46" s="531"/>
      <c r="D46" s="532"/>
      <c r="E46" s="531"/>
      <c r="F46" s="532"/>
      <c r="G46" s="536"/>
      <c r="H46" s="537"/>
    </row>
    <row r="47" spans="1:8" ht="12.75" hidden="1" customHeight="1" outlineLevel="1" x14ac:dyDescent="0.2">
      <c r="A47" s="525"/>
      <c r="B47" s="526"/>
      <c r="C47" s="531"/>
      <c r="D47" s="532"/>
      <c r="E47" s="531"/>
      <c r="F47" s="532"/>
      <c r="G47" s="536"/>
      <c r="H47" s="537"/>
    </row>
    <row r="48" spans="1:8" ht="12.75" hidden="1" customHeight="1" outlineLevel="1" x14ac:dyDescent="0.2">
      <c r="A48" s="525"/>
      <c r="B48" s="526"/>
      <c r="C48" s="531"/>
      <c r="D48" s="532"/>
      <c r="E48" s="531"/>
      <c r="F48" s="532"/>
      <c r="G48" s="536"/>
      <c r="H48" s="537"/>
    </row>
    <row r="49" spans="1:9" ht="12.75" hidden="1" customHeight="1" outlineLevel="1" x14ac:dyDescent="0.2">
      <c r="A49" s="525"/>
      <c r="B49" s="526"/>
      <c r="C49" s="531"/>
      <c r="D49" s="532"/>
      <c r="E49" s="531"/>
      <c r="F49" s="532"/>
      <c r="G49" s="536"/>
      <c r="H49" s="537"/>
    </row>
    <row r="50" spans="1:9" ht="12.75" hidden="1" customHeight="1" outlineLevel="1" x14ac:dyDescent="0.2">
      <c r="A50" s="527"/>
      <c r="B50" s="528"/>
      <c r="C50" s="533"/>
      <c r="D50" s="534"/>
      <c r="E50" s="533"/>
      <c r="F50" s="534"/>
      <c r="G50" s="538"/>
      <c r="H50" s="539"/>
    </row>
    <row r="51" spans="1:9" ht="12.75" customHeight="1" collapsed="1" x14ac:dyDescent="0.2">
      <c r="A51" s="512" t="s">
        <v>415</v>
      </c>
      <c r="B51" s="513"/>
      <c r="C51" s="540" t="s">
        <v>416</v>
      </c>
      <c r="D51" s="511"/>
      <c r="E51" s="540"/>
      <c r="F51" s="541"/>
      <c r="G51" s="540"/>
      <c r="H51" s="541"/>
    </row>
    <row r="52" spans="1:9" ht="12.75" customHeight="1" x14ac:dyDescent="0.2">
      <c r="A52" s="512" t="s">
        <v>417</v>
      </c>
      <c r="B52" s="513"/>
      <c r="C52" s="514">
        <v>43639</v>
      </c>
      <c r="D52" s="511"/>
      <c r="E52" s="514"/>
      <c r="F52" s="511"/>
      <c r="G52" s="514"/>
      <c r="H52" s="511"/>
    </row>
    <row r="53" spans="1:9" ht="12.75" customHeight="1" x14ac:dyDescent="0.2">
      <c r="A53" s="508" t="s">
        <v>418</v>
      </c>
      <c r="B53" s="508"/>
      <c r="C53" s="515" t="str">
        <f>VLOOKUP(C10,'WT (WT)'!$A$8:$K$24,11,0)</f>
        <v>Effective</v>
      </c>
      <c r="D53" s="516"/>
      <c r="E53" s="515"/>
      <c r="F53" s="516"/>
      <c r="G53" s="519"/>
      <c r="H53" s="520"/>
    </row>
    <row r="54" spans="1:9" ht="12.75" customHeight="1" x14ac:dyDescent="0.2">
      <c r="A54" s="508"/>
      <c r="B54" s="508"/>
      <c r="C54" s="517"/>
      <c r="D54" s="518"/>
      <c r="E54" s="517"/>
      <c r="F54" s="518"/>
      <c r="G54" s="521"/>
      <c r="H54" s="522"/>
      <c r="I54" s="271"/>
    </row>
    <row r="55" spans="1:9" ht="12.75" customHeight="1" x14ac:dyDescent="0.2">
      <c r="A55" s="508" t="s">
        <v>419</v>
      </c>
      <c r="B55" s="508"/>
      <c r="C55" s="519" t="s">
        <v>330</v>
      </c>
      <c r="D55" s="520"/>
      <c r="E55" s="519"/>
      <c r="F55" s="520"/>
      <c r="G55" s="519"/>
      <c r="H55" s="520"/>
      <c r="I55" s="271"/>
    </row>
    <row r="56" spans="1:9" ht="12.75" customHeight="1" x14ac:dyDescent="0.2">
      <c r="A56" s="508"/>
      <c r="B56" s="508"/>
      <c r="C56" s="542"/>
      <c r="D56" s="543"/>
      <c r="E56" s="542"/>
      <c r="F56" s="543"/>
      <c r="G56" s="542"/>
      <c r="H56" s="543"/>
      <c r="I56" s="271"/>
    </row>
    <row r="57" spans="1:9" ht="12.75" customHeight="1" x14ac:dyDescent="0.2">
      <c r="A57" s="508"/>
      <c r="B57" s="508"/>
      <c r="C57" s="521"/>
      <c r="D57" s="522"/>
      <c r="E57" s="521"/>
      <c r="F57" s="522"/>
      <c r="G57" s="521"/>
      <c r="H57" s="522"/>
      <c r="I57" s="271"/>
    </row>
    <row r="58" spans="1:9" ht="12.75" customHeight="1" x14ac:dyDescent="0.2">
      <c r="A58" s="280"/>
      <c r="B58" s="280"/>
      <c r="C58" s="271"/>
      <c r="D58" s="271"/>
      <c r="E58" s="271"/>
      <c r="F58" s="271"/>
      <c r="G58" s="281"/>
      <c r="H58" s="271"/>
      <c r="I58" s="271"/>
    </row>
    <row r="59" spans="1:9" ht="12.75" customHeight="1" x14ac:dyDescent="0.2">
      <c r="A59" s="544" t="s">
        <v>420</v>
      </c>
      <c r="B59" s="544" t="s">
        <v>421</v>
      </c>
      <c r="C59" s="544" t="s">
        <v>422</v>
      </c>
      <c r="D59" s="544" t="s">
        <v>423</v>
      </c>
      <c r="E59" s="544" t="s">
        <v>424</v>
      </c>
      <c r="F59" s="544" t="s">
        <v>425</v>
      </c>
      <c r="G59" s="544" t="s">
        <v>426</v>
      </c>
      <c r="H59" s="544" t="s">
        <v>427</v>
      </c>
      <c r="I59" s="271"/>
    </row>
    <row r="60" spans="1:9" ht="12.75" customHeight="1" x14ac:dyDescent="0.2">
      <c r="A60" s="544"/>
      <c r="B60" s="544"/>
      <c r="C60" s="544"/>
      <c r="D60" s="544"/>
      <c r="E60" s="544"/>
      <c r="F60" s="544"/>
      <c r="G60" s="544"/>
      <c r="H60" s="544"/>
      <c r="I60" s="271"/>
    </row>
    <row r="61" spans="1:9" ht="12.75" customHeight="1" x14ac:dyDescent="0.2">
      <c r="A61" s="544"/>
      <c r="B61" s="544"/>
      <c r="C61" s="544"/>
      <c r="D61" s="544"/>
      <c r="E61" s="544"/>
      <c r="F61" s="544"/>
      <c r="G61" s="544"/>
      <c r="H61" s="544"/>
      <c r="I61" s="271"/>
    </row>
    <row r="62" spans="1:9" ht="12.75" customHeight="1" x14ac:dyDescent="0.2">
      <c r="A62" s="545" t="s">
        <v>428</v>
      </c>
      <c r="B62" s="546"/>
      <c r="C62" s="547"/>
      <c r="D62" s="547"/>
      <c r="E62" s="547"/>
      <c r="F62" s="547"/>
      <c r="G62" s="547"/>
      <c r="H62" s="548"/>
      <c r="I62" s="271"/>
    </row>
    <row r="63" spans="1:9" ht="12.75" customHeight="1" outlineLevel="1" x14ac:dyDescent="0.2">
      <c r="A63" s="549">
        <v>1</v>
      </c>
      <c r="B63" s="550" t="s">
        <v>429</v>
      </c>
      <c r="C63" s="551" t="s">
        <v>430</v>
      </c>
      <c r="D63" s="550" t="s">
        <v>431</v>
      </c>
      <c r="E63" s="551">
        <v>43503</v>
      </c>
      <c r="F63" s="552" t="s">
        <v>279</v>
      </c>
      <c r="G63" s="552" t="s">
        <v>279</v>
      </c>
      <c r="H63" s="553" t="s">
        <v>432</v>
      </c>
      <c r="I63" s="271"/>
    </row>
    <row r="64" spans="1:9" ht="12.75" customHeight="1" outlineLevel="1" x14ac:dyDescent="0.2">
      <c r="A64" s="549"/>
      <c r="B64" s="550"/>
      <c r="C64" s="551"/>
      <c r="D64" s="552"/>
      <c r="E64" s="551"/>
      <c r="F64" s="552"/>
      <c r="G64" s="552"/>
      <c r="H64" s="553"/>
      <c r="I64" s="271"/>
    </row>
    <row r="65" spans="1:9" ht="12.75" customHeight="1" outlineLevel="1" x14ac:dyDescent="0.2">
      <c r="A65" s="549"/>
      <c r="B65" s="550"/>
      <c r="C65" s="550"/>
      <c r="D65" s="552"/>
      <c r="E65" s="550"/>
      <c r="F65" s="552"/>
      <c r="G65" s="552"/>
      <c r="H65" s="553"/>
      <c r="I65" s="271"/>
    </row>
    <row r="66" spans="1:9" ht="12.75" customHeight="1" outlineLevel="1" x14ac:dyDescent="0.2">
      <c r="A66" s="549">
        <v>2</v>
      </c>
      <c r="B66" s="550" t="s">
        <v>433</v>
      </c>
      <c r="C66" s="551">
        <v>43543</v>
      </c>
      <c r="D66" s="550" t="s">
        <v>431</v>
      </c>
      <c r="E66" s="551">
        <v>43603</v>
      </c>
      <c r="F66" s="550" t="s">
        <v>434</v>
      </c>
      <c r="G66" s="552" t="s">
        <v>279</v>
      </c>
      <c r="H66" s="554"/>
      <c r="I66" s="271"/>
    </row>
    <row r="67" spans="1:9" ht="12.75" customHeight="1" outlineLevel="1" x14ac:dyDescent="0.2">
      <c r="A67" s="549"/>
      <c r="B67" s="550"/>
      <c r="C67" s="551"/>
      <c r="D67" s="552"/>
      <c r="E67" s="551"/>
      <c r="F67" s="552"/>
      <c r="G67" s="552"/>
      <c r="H67" s="554"/>
      <c r="I67" s="271"/>
    </row>
    <row r="68" spans="1:9" ht="12.75" customHeight="1" outlineLevel="1" x14ac:dyDescent="0.2">
      <c r="A68" s="549"/>
      <c r="B68" s="550"/>
      <c r="C68" s="550"/>
      <c r="D68" s="552"/>
      <c r="E68" s="550"/>
      <c r="F68" s="552"/>
      <c r="G68" s="552"/>
      <c r="H68" s="554"/>
      <c r="I68" s="271"/>
    </row>
    <row r="69" spans="1:9" ht="12.75" customHeight="1" outlineLevel="1" x14ac:dyDescent="0.2">
      <c r="A69" s="549">
        <v>3</v>
      </c>
      <c r="B69" s="550" t="s">
        <v>435</v>
      </c>
      <c r="C69" s="551">
        <v>43601</v>
      </c>
      <c r="D69" s="550" t="s">
        <v>431</v>
      </c>
      <c r="E69" s="551">
        <v>43598</v>
      </c>
      <c r="F69" s="552" t="s">
        <v>279</v>
      </c>
      <c r="G69" s="552" t="s">
        <v>279</v>
      </c>
      <c r="H69" s="554"/>
      <c r="I69" s="271"/>
    </row>
    <row r="70" spans="1:9" ht="12.75" customHeight="1" outlineLevel="1" x14ac:dyDescent="0.2">
      <c r="A70" s="549"/>
      <c r="B70" s="550"/>
      <c r="C70" s="551"/>
      <c r="D70" s="552"/>
      <c r="E70" s="551"/>
      <c r="F70" s="552"/>
      <c r="G70" s="552"/>
      <c r="H70" s="554"/>
      <c r="I70" s="271"/>
    </row>
    <row r="71" spans="1:9" ht="12.75" customHeight="1" outlineLevel="1" x14ac:dyDescent="0.2">
      <c r="A71" s="549"/>
      <c r="B71" s="550"/>
      <c r="C71" s="550"/>
      <c r="D71" s="552"/>
      <c r="E71" s="550"/>
      <c r="F71" s="552"/>
      <c r="G71" s="552"/>
      <c r="H71" s="554"/>
      <c r="I71" s="271"/>
    </row>
    <row r="72" spans="1:9" ht="12.75" customHeight="1" x14ac:dyDescent="0.2">
      <c r="A72" s="545" t="s">
        <v>436</v>
      </c>
      <c r="B72" s="546"/>
      <c r="C72" s="547"/>
      <c r="D72" s="547"/>
      <c r="E72" s="547"/>
      <c r="F72" s="547"/>
      <c r="G72" s="547"/>
      <c r="H72" s="548"/>
      <c r="I72" s="271"/>
    </row>
    <row r="73" spans="1:9" ht="12.75" customHeight="1" outlineLevel="1" x14ac:dyDescent="0.2">
      <c r="A73" s="549">
        <v>4</v>
      </c>
      <c r="B73" s="550"/>
      <c r="C73" s="552"/>
      <c r="D73" s="552"/>
      <c r="E73" s="552"/>
      <c r="F73" s="552"/>
      <c r="G73" s="552"/>
      <c r="H73" s="554"/>
      <c r="I73" s="267">
        <v>4</v>
      </c>
    </row>
    <row r="74" spans="1:9" ht="12.75" customHeight="1" outlineLevel="1" x14ac:dyDescent="0.2">
      <c r="A74" s="549"/>
      <c r="B74" s="550"/>
      <c r="C74" s="552"/>
      <c r="D74" s="552"/>
      <c r="E74" s="552"/>
      <c r="F74" s="552"/>
      <c r="G74" s="552"/>
      <c r="H74" s="559"/>
    </row>
    <row r="75" spans="1:9" ht="12.75" customHeight="1" outlineLevel="1" x14ac:dyDescent="0.2">
      <c r="A75" s="549"/>
      <c r="B75" s="550"/>
      <c r="C75" s="552"/>
      <c r="D75" s="552"/>
      <c r="E75" s="552"/>
      <c r="F75" s="552"/>
      <c r="G75" s="552"/>
      <c r="H75" s="559"/>
    </row>
    <row r="76" spans="1:9" ht="12.75" customHeight="1" x14ac:dyDescent="0.2">
      <c r="A76" s="560" t="s">
        <v>437</v>
      </c>
      <c r="B76" s="547"/>
      <c r="C76" s="547"/>
      <c r="D76" s="547"/>
      <c r="E76" s="547"/>
      <c r="F76" s="547"/>
      <c r="G76" s="547"/>
      <c r="H76" s="548"/>
    </row>
    <row r="77" spans="1:9" ht="12.75" hidden="1" customHeight="1" outlineLevel="1" x14ac:dyDescent="0.2">
      <c r="A77" s="549">
        <v>5</v>
      </c>
      <c r="B77" s="550"/>
      <c r="C77" s="552"/>
      <c r="D77" s="552"/>
      <c r="E77" s="552"/>
      <c r="F77" s="552"/>
      <c r="G77" s="552"/>
      <c r="H77" s="554"/>
    </row>
    <row r="78" spans="1:9" ht="12.75" hidden="1" customHeight="1" outlineLevel="1" x14ac:dyDescent="0.2">
      <c r="A78" s="549"/>
      <c r="B78" s="550"/>
      <c r="C78" s="552"/>
      <c r="D78" s="552"/>
      <c r="E78" s="552"/>
      <c r="F78" s="552"/>
      <c r="G78" s="552"/>
      <c r="H78" s="554"/>
    </row>
    <row r="79" spans="1:9" ht="12.75" hidden="1" customHeight="1" outlineLevel="1" x14ac:dyDescent="0.2">
      <c r="A79" s="549"/>
      <c r="B79" s="550"/>
      <c r="C79" s="552"/>
      <c r="D79" s="552"/>
      <c r="E79" s="552"/>
      <c r="F79" s="552"/>
      <c r="G79" s="552"/>
      <c r="H79" s="554"/>
    </row>
    <row r="80" spans="1:9" ht="12.75" customHeight="1" collapsed="1" x14ac:dyDescent="0.2">
      <c r="A80" s="270"/>
      <c r="B80" s="270"/>
      <c r="C80" s="555"/>
      <c r="D80" s="555"/>
      <c r="E80" s="270"/>
      <c r="F80" s="270"/>
      <c r="G80" s="270"/>
    </row>
    <row r="81" spans="1:8" ht="12.75" customHeight="1" x14ac:dyDescent="0.2">
      <c r="A81" s="282"/>
      <c r="B81" s="282"/>
      <c r="C81" s="506" t="s">
        <v>409</v>
      </c>
      <c r="D81" s="507"/>
      <c r="E81" s="504" t="s">
        <v>410</v>
      </c>
      <c r="F81" s="504"/>
      <c r="G81" s="505" t="s">
        <v>437</v>
      </c>
      <c r="H81" s="505"/>
    </row>
    <row r="82" spans="1:8" ht="12.75" customHeight="1" x14ac:dyDescent="0.2">
      <c r="A82" s="512" t="s">
        <v>438</v>
      </c>
      <c r="B82" s="556"/>
      <c r="C82" s="557" t="s">
        <v>439</v>
      </c>
      <c r="D82" s="558"/>
      <c r="E82" s="557"/>
      <c r="F82" s="558"/>
      <c r="G82" s="557"/>
      <c r="H82" s="558"/>
    </row>
    <row r="83" spans="1:8" ht="12.75" customHeight="1" x14ac:dyDescent="0.2">
      <c r="A83" s="512" t="s">
        <v>440</v>
      </c>
      <c r="B83" s="556"/>
      <c r="C83" s="514">
        <v>43707</v>
      </c>
      <c r="D83" s="581"/>
      <c r="E83" s="514"/>
      <c r="F83" s="581"/>
      <c r="G83" s="514"/>
      <c r="H83" s="581"/>
    </row>
    <row r="84" spans="1:8" ht="12.75" customHeight="1" x14ac:dyDescent="0.2">
      <c r="A84" s="512" t="s">
        <v>441</v>
      </c>
      <c r="B84" s="556"/>
      <c r="C84" s="582" t="s">
        <v>330</v>
      </c>
      <c r="D84" s="583"/>
      <c r="E84" s="557" t="s">
        <v>392</v>
      </c>
      <c r="F84" s="558"/>
      <c r="G84" s="557" t="s">
        <v>392</v>
      </c>
      <c r="H84" s="558"/>
    </row>
    <row r="85" spans="1:8" ht="12.75" customHeight="1" x14ac:dyDescent="0.2">
      <c r="A85" s="270"/>
      <c r="B85" s="270"/>
      <c r="C85" s="270"/>
      <c r="D85" s="270"/>
      <c r="E85" s="270"/>
      <c r="F85" s="270"/>
      <c r="G85" s="270"/>
      <c r="H85" s="270"/>
    </row>
    <row r="86" spans="1:8" ht="12.75" customHeight="1" x14ac:dyDescent="0.2">
      <c r="A86" s="561" t="s">
        <v>442</v>
      </c>
      <c r="B86" s="562"/>
      <c r="C86" s="270"/>
      <c r="D86" s="270"/>
      <c r="E86" s="270"/>
      <c r="F86" s="270"/>
      <c r="G86" s="270"/>
    </row>
    <row r="87" spans="1:8" ht="12.75" customHeight="1" x14ac:dyDescent="0.2">
      <c r="A87" s="563" t="s">
        <v>279</v>
      </c>
      <c r="B87" s="564"/>
      <c r="C87" s="567" t="s">
        <v>443</v>
      </c>
      <c r="D87" s="568"/>
      <c r="E87" s="568"/>
      <c r="F87" s="568"/>
      <c r="G87" s="568"/>
      <c r="H87" s="569"/>
    </row>
    <row r="88" spans="1:8" ht="12.75" customHeight="1" x14ac:dyDescent="0.2">
      <c r="A88" s="565"/>
      <c r="B88" s="566"/>
      <c r="C88" s="570"/>
      <c r="D88" s="571"/>
      <c r="E88" s="571"/>
      <c r="F88" s="571"/>
      <c r="G88" s="571"/>
      <c r="H88" s="572"/>
    </row>
    <row r="89" spans="1:8" ht="12.75" customHeight="1" x14ac:dyDescent="0.2">
      <c r="A89" s="573" t="s">
        <v>432</v>
      </c>
      <c r="B89" s="574"/>
      <c r="C89" s="567" t="s">
        <v>444</v>
      </c>
      <c r="D89" s="568"/>
      <c r="E89" s="568"/>
      <c r="F89" s="568"/>
      <c r="G89" s="568"/>
      <c r="H89" s="569"/>
    </row>
    <row r="90" spans="1:8" ht="12.75" customHeight="1" x14ac:dyDescent="0.2">
      <c r="A90" s="575"/>
      <c r="B90" s="576"/>
      <c r="C90" s="570"/>
      <c r="D90" s="571"/>
      <c r="E90" s="571"/>
      <c r="F90" s="571"/>
      <c r="G90" s="571"/>
      <c r="H90" s="572"/>
    </row>
    <row r="91" spans="1:8" ht="12.75" customHeight="1" x14ac:dyDescent="0.2">
      <c r="A91" s="577" t="s">
        <v>445</v>
      </c>
      <c r="B91" s="578"/>
      <c r="C91" s="567" t="s">
        <v>446</v>
      </c>
      <c r="D91" s="568"/>
      <c r="E91" s="568"/>
      <c r="F91" s="568"/>
      <c r="G91" s="568"/>
      <c r="H91" s="569"/>
    </row>
    <row r="92" spans="1:8" ht="12.75" customHeight="1" x14ac:dyDescent="0.2">
      <c r="A92" s="579"/>
      <c r="B92" s="580"/>
      <c r="C92" s="570"/>
      <c r="D92" s="571"/>
      <c r="E92" s="571"/>
      <c r="F92" s="571"/>
      <c r="G92" s="571"/>
      <c r="H92" s="572"/>
    </row>
    <row r="93" spans="1:8" ht="12.75" customHeight="1" x14ac:dyDescent="0.2">
      <c r="A93" s="577" t="s">
        <v>447</v>
      </c>
      <c r="B93" s="578"/>
      <c r="C93" s="586" t="s">
        <v>448</v>
      </c>
      <c r="D93" s="587"/>
      <c r="E93" s="587"/>
      <c r="F93" s="587"/>
      <c r="G93" s="587"/>
      <c r="H93" s="588"/>
    </row>
    <row r="94" spans="1:8" ht="12.75" customHeight="1" x14ac:dyDescent="0.2">
      <c r="A94" s="584"/>
      <c r="B94" s="585"/>
      <c r="C94" s="589"/>
      <c r="D94" s="590"/>
      <c r="E94" s="590"/>
      <c r="F94" s="590"/>
      <c r="G94" s="590"/>
      <c r="H94" s="591"/>
    </row>
    <row r="95" spans="1:8" ht="12.75" customHeight="1" x14ac:dyDescent="0.2">
      <c r="A95" s="579"/>
      <c r="B95" s="580"/>
      <c r="C95" s="592"/>
      <c r="D95" s="593"/>
      <c r="E95" s="593"/>
      <c r="F95" s="593"/>
      <c r="G95" s="593"/>
      <c r="H95" s="594"/>
    </row>
    <row r="97" spans="1:8" ht="12.75" customHeight="1" x14ac:dyDescent="0.2">
      <c r="A97" s="595" t="s">
        <v>370</v>
      </c>
      <c r="B97" s="596"/>
      <c r="C97" s="596"/>
      <c r="D97" s="596"/>
      <c r="E97" s="596"/>
      <c r="F97" s="596"/>
      <c r="G97" s="596"/>
      <c r="H97" s="597"/>
    </row>
    <row r="98" spans="1:8" ht="12.75" customHeight="1" x14ac:dyDescent="0.2">
      <c r="A98" s="283" t="s">
        <v>449</v>
      </c>
      <c r="B98" s="283" t="s">
        <v>450</v>
      </c>
      <c r="C98" s="283" t="s">
        <v>451</v>
      </c>
      <c r="D98" s="595" t="s">
        <v>452</v>
      </c>
      <c r="E98" s="596"/>
      <c r="F98" s="596"/>
      <c r="G98" s="596"/>
      <c r="H98" s="597"/>
    </row>
    <row r="99" spans="1:8" ht="12.75" customHeight="1" x14ac:dyDescent="0.2">
      <c r="A99" s="598" t="s">
        <v>453</v>
      </c>
      <c r="B99" s="598" t="s">
        <v>454</v>
      </c>
      <c r="C99" s="598" t="s">
        <v>455</v>
      </c>
      <c r="D99" s="601" t="s">
        <v>456</v>
      </c>
      <c r="E99" s="604" t="s">
        <v>457</v>
      </c>
      <c r="F99" s="605"/>
      <c r="G99" s="610" t="s">
        <v>455</v>
      </c>
      <c r="H99" s="611"/>
    </row>
    <row r="100" spans="1:8" ht="12.75" customHeight="1" x14ac:dyDescent="0.2">
      <c r="A100" s="599"/>
      <c r="B100" s="599"/>
      <c r="C100" s="599"/>
      <c r="D100" s="602"/>
      <c r="E100" s="606"/>
      <c r="F100" s="607"/>
      <c r="G100" s="612"/>
      <c r="H100" s="613"/>
    </row>
    <row r="101" spans="1:8" ht="12.75" customHeight="1" x14ac:dyDescent="0.2">
      <c r="A101" s="599"/>
      <c r="B101" s="599"/>
      <c r="C101" s="599"/>
      <c r="D101" s="602"/>
      <c r="E101" s="606"/>
      <c r="F101" s="607"/>
      <c r="G101" s="612"/>
      <c r="H101" s="613"/>
    </row>
    <row r="102" spans="1:8" ht="12.75" customHeight="1" x14ac:dyDescent="0.2">
      <c r="A102" s="599"/>
      <c r="B102" s="599"/>
      <c r="C102" s="599"/>
      <c r="D102" s="602"/>
      <c r="E102" s="606"/>
      <c r="F102" s="607"/>
      <c r="G102" s="612"/>
      <c r="H102" s="613"/>
    </row>
    <row r="103" spans="1:8" ht="12.75" customHeight="1" x14ac:dyDescent="0.2">
      <c r="A103" s="599"/>
      <c r="B103" s="599"/>
      <c r="C103" s="599"/>
      <c r="D103" s="603"/>
      <c r="E103" s="608"/>
      <c r="F103" s="609"/>
      <c r="G103" s="614"/>
      <c r="H103" s="615"/>
    </row>
    <row r="104" spans="1:8" ht="12.75" customHeight="1" x14ac:dyDescent="0.2">
      <c r="A104" s="599"/>
      <c r="B104" s="599"/>
      <c r="C104" s="599"/>
      <c r="D104" s="601" t="s">
        <v>458</v>
      </c>
      <c r="E104" s="604" t="s">
        <v>459</v>
      </c>
      <c r="F104" s="605"/>
      <c r="G104" s="610" t="s">
        <v>455</v>
      </c>
      <c r="H104" s="611"/>
    </row>
    <row r="105" spans="1:8" ht="12.75" customHeight="1" x14ac:dyDescent="0.2">
      <c r="A105" s="599"/>
      <c r="B105" s="599"/>
      <c r="C105" s="599"/>
      <c r="D105" s="602"/>
      <c r="E105" s="606"/>
      <c r="F105" s="607"/>
      <c r="G105" s="612"/>
      <c r="H105" s="613"/>
    </row>
    <row r="106" spans="1:8" ht="12.75" customHeight="1" x14ac:dyDescent="0.2">
      <c r="A106" s="599"/>
      <c r="B106" s="599"/>
      <c r="C106" s="599"/>
      <c r="D106" s="602"/>
      <c r="E106" s="606"/>
      <c r="F106" s="607"/>
      <c r="G106" s="612"/>
      <c r="H106" s="613"/>
    </row>
    <row r="107" spans="1:8" ht="12.75" customHeight="1" x14ac:dyDescent="0.2">
      <c r="A107" s="599"/>
      <c r="B107" s="599"/>
      <c r="C107" s="599"/>
      <c r="D107" s="602"/>
      <c r="E107" s="606"/>
      <c r="F107" s="607"/>
      <c r="G107" s="612"/>
      <c r="H107" s="613"/>
    </row>
    <row r="108" spans="1:8" ht="12.75" customHeight="1" x14ac:dyDescent="0.2">
      <c r="A108" s="599"/>
      <c r="B108" s="599"/>
      <c r="C108" s="599"/>
      <c r="D108" s="603"/>
      <c r="E108" s="608"/>
      <c r="F108" s="609"/>
      <c r="G108" s="614"/>
      <c r="H108" s="615"/>
    </row>
    <row r="109" spans="1:8" ht="12.75" customHeight="1" x14ac:dyDescent="0.2">
      <c r="A109" s="599"/>
      <c r="B109" s="599"/>
      <c r="C109" s="599"/>
      <c r="D109" s="601" t="s">
        <v>460</v>
      </c>
      <c r="E109" s="604" t="s">
        <v>461</v>
      </c>
      <c r="F109" s="605"/>
      <c r="G109" s="610" t="s">
        <v>455</v>
      </c>
      <c r="H109" s="611"/>
    </row>
    <row r="110" spans="1:8" ht="12.75" customHeight="1" x14ac:dyDescent="0.2">
      <c r="A110" s="599"/>
      <c r="B110" s="599"/>
      <c r="C110" s="599"/>
      <c r="D110" s="602"/>
      <c r="E110" s="606"/>
      <c r="F110" s="607"/>
      <c r="G110" s="612"/>
      <c r="H110" s="613"/>
    </row>
    <row r="111" spans="1:8" ht="12.75" customHeight="1" x14ac:dyDescent="0.2">
      <c r="A111" s="599"/>
      <c r="B111" s="599"/>
      <c r="C111" s="599"/>
      <c r="D111" s="602"/>
      <c r="E111" s="606"/>
      <c r="F111" s="607"/>
      <c r="G111" s="612"/>
      <c r="H111" s="613"/>
    </row>
    <row r="112" spans="1:8" ht="12.75" customHeight="1" x14ac:dyDescent="0.2">
      <c r="A112" s="599"/>
      <c r="B112" s="599"/>
      <c r="C112" s="599"/>
      <c r="D112" s="602"/>
      <c r="E112" s="606"/>
      <c r="F112" s="607"/>
      <c r="G112" s="612"/>
      <c r="H112" s="613"/>
    </row>
    <row r="113" spans="1:8" ht="12.75" customHeight="1" x14ac:dyDescent="0.2">
      <c r="A113" s="599"/>
      <c r="B113" s="599"/>
      <c r="C113" s="599"/>
      <c r="D113" s="602"/>
      <c r="E113" s="608"/>
      <c r="F113" s="609"/>
      <c r="G113" s="614"/>
      <c r="H113" s="615"/>
    </row>
    <row r="114" spans="1:8" ht="12.75" customHeight="1" x14ac:dyDescent="0.2">
      <c r="A114" s="599"/>
      <c r="B114" s="599"/>
      <c r="C114" s="599"/>
      <c r="D114" s="602"/>
      <c r="E114" s="604" t="s">
        <v>462</v>
      </c>
      <c r="F114" s="605"/>
      <c r="G114" s="616" t="s">
        <v>336</v>
      </c>
      <c r="H114" s="617"/>
    </row>
    <row r="115" spans="1:8" ht="12.75" customHeight="1" x14ac:dyDescent="0.2">
      <c r="A115" s="599"/>
      <c r="B115" s="599"/>
      <c r="C115" s="599"/>
      <c r="D115" s="602"/>
      <c r="E115" s="608"/>
      <c r="F115" s="609"/>
      <c r="G115" s="618"/>
      <c r="H115" s="619"/>
    </row>
    <row r="116" spans="1:8" ht="12.75" customHeight="1" x14ac:dyDescent="0.2">
      <c r="A116" s="599"/>
      <c r="B116" s="599"/>
      <c r="C116" s="599"/>
      <c r="D116" s="602"/>
      <c r="E116" s="604" t="s">
        <v>463</v>
      </c>
      <c r="F116" s="605"/>
      <c r="G116" s="610" t="s">
        <v>336</v>
      </c>
      <c r="H116" s="611"/>
    </row>
    <row r="117" spans="1:8" ht="12.75" customHeight="1" x14ac:dyDescent="0.2">
      <c r="A117" s="599"/>
      <c r="B117" s="599"/>
      <c r="C117" s="599"/>
      <c r="D117" s="602"/>
      <c r="E117" s="606"/>
      <c r="F117" s="607"/>
      <c r="G117" s="612"/>
      <c r="H117" s="613"/>
    </row>
    <row r="118" spans="1:8" ht="12.75" customHeight="1" x14ac:dyDescent="0.2">
      <c r="A118" s="599"/>
      <c r="B118" s="599"/>
      <c r="C118" s="599"/>
      <c r="D118" s="602"/>
      <c r="E118" s="606"/>
      <c r="F118" s="607"/>
      <c r="G118" s="612"/>
      <c r="H118" s="613"/>
    </row>
    <row r="119" spans="1:8" ht="12.75" customHeight="1" x14ac:dyDescent="0.2">
      <c r="A119" s="599"/>
      <c r="B119" s="599"/>
      <c r="C119" s="599"/>
      <c r="D119" s="602"/>
      <c r="E119" s="606"/>
      <c r="F119" s="607"/>
      <c r="G119" s="612"/>
      <c r="H119" s="613"/>
    </row>
    <row r="120" spans="1:8" ht="12.75" customHeight="1" x14ac:dyDescent="0.2">
      <c r="A120" s="599"/>
      <c r="B120" s="599"/>
      <c r="C120" s="599"/>
      <c r="D120" s="602"/>
      <c r="E120" s="608"/>
      <c r="F120" s="609"/>
      <c r="G120" s="614"/>
      <c r="H120" s="615"/>
    </row>
    <row r="121" spans="1:8" ht="12.75" customHeight="1" x14ac:dyDescent="0.2">
      <c r="A121" s="599"/>
      <c r="B121" s="599"/>
      <c r="C121" s="599"/>
      <c r="D121" s="602"/>
      <c r="E121" s="604" t="s">
        <v>464</v>
      </c>
      <c r="F121" s="605"/>
      <c r="G121" s="616" t="s">
        <v>336</v>
      </c>
      <c r="H121" s="617"/>
    </row>
    <row r="122" spans="1:8" ht="12.75" customHeight="1" x14ac:dyDescent="0.2">
      <c r="A122" s="599"/>
      <c r="B122" s="599"/>
      <c r="C122" s="599"/>
      <c r="D122" s="603"/>
      <c r="E122" s="608"/>
      <c r="F122" s="609"/>
      <c r="G122" s="618"/>
      <c r="H122" s="619"/>
    </row>
    <row r="123" spans="1:8" ht="12.75" customHeight="1" x14ac:dyDescent="0.2">
      <c r="A123" s="599"/>
      <c r="B123" s="599"/>
      <c r="C123" s="599"/>
      <c r="D123" s="601" t="s">
        <v>465</v>
      </c>
      <c r="E123" s="604" t="s">
        <v>466</v>
      </c>
      <c r="F123" s="605"/>
      <c r="G123" s="610" t="s">
        <v>455</v>
      </c>
      <c r="H123" s="611"/>
    </row>
    <row r="124" spans="1:8" ht="12.75" customHeight="1" x14ac:dyDescent="0.2">
      <c r="A124" s="599"/>
      <c r="B124" s="599"/>
      <c r="C124" s="599"/>
      <c r="D124" s="602"/>
      <c r="E124" s="606"/>
      <c r="F124" s="607"/>
      <c r="G124" s="612"/>
      <c r="H124" s="613"/>
    </row>
    <row r="125" spans="1:8" ht="12.75" customHeight="1" x14ac:dyDescent="0.2">
      <c r="A125" s="599"/>
      <c r="B125" s="599"/>
      <c r="C125" s="599"/>
      <c r="D125" s="602"/>
      <c r="E125" s="606"/>
      <c r="F125" s="607"/>
      <c r="G125" s="612"/>
      <c r="H125" s="613"/>
    </row>
    <row r="126" spans="1:8" ht="12.75" customHeight="1" x14ac:dyDescent="0.2">
      <c r="A126" s="599"/>
      <c r="B126" s="599"/>
      <c r="C126" s="599"/>
      <c r="D126" s="602"/>
      <c r="E126" s="606"/>
      <c r="F126" s="607"/>
      <c r="G126" s="612"/>
      <c r="H126" s="613"/>
    </row>
    <row r="127" spans="1:8" ht="12.75" customHeight="1" x14ac:dyDescent="0.2">
      <c r="A127" s="599"/>
      <c r="B127" s="599"/>
      <c r="C127" s="599"/>
      <c r="D127" s="602"/>
      <c r="E127" s="608"/>
      <c r="F127" s="609"/>
      <c r="G127" s="614"/>
      <c r="H127" s="615"/>
    </row>
    <row r="128" spans="1:8" ht="12.75" customHeight="1" x14ac:dyDescent="0.2">
      <c r="A128" s="599"/>
      <c r="B128" s="599"/>
      <c r="C128" s="599"/>
      <c r="D128" s="602"/>
      <c r="E128" s="604" t="s">
        <v>467</v>
      </c>
      <c r="F128" s="605"/>
      <c r="G128" s="616" t="s">
        <v>336</v>
      </c>
      <c r="H128" s="617"/>
    </row>
    <row r="129" spans="1:8" ht="12.75" customHeight="1" x14ac:dyDescent="0.2">
      <c r="A129" s="600"/>
      <c r="B129" s="600"/>
      <c r="C129" s="600"/>
      <c r="D129" s="603"/>
      <c r="E129" s="608"/>
      <c r="F129" s="609"/>
      <c r="G129" s="618"/>
      <c r="H129" s="619"/>
    </row>
    <row r="130" spans="1:8" ht="12.75" customHeight="1" x14ac:dyDescent="0.2">
      <c r="A130" s="598" t="s">
        <v>453</v>
      </c>
      <c r="B130" s="598" t="s">
        <v>468</v>
      </c>
      <c r="C130" s="598" t="s">
        <v>455</v>
      </c>
      <c r="D130" s="620" t="s">
        <v>456</v>
      </c>
      <c r="E130" s="623" t="s">
        <v>469</v>
      </c>
      <c r="F130" s="624"/>
      <c r="G130" s="629" t="s">
        <v>455</v>
      </c>
      <c r="H130" s="630"/>
    </row>
    <row r="131" spans="1:8" ht="12.75" customHeight="1" x14ac:dyDescent="0.2">
      <c r="A131" s="599"/>
      <c r="B131" s="599"/>
      <c r="C131" s="599"/>
      <c r="D131" s="621"/>
      <c r="E131" s="625"/>
      <c r="F131" s="626"/>
      <c r="G131" s="631"/>
      <c r="H131" s="632"/>
    </row>
    <row r="132" spans="1:8" ht="12.75" customHeight="1" x14ac:dyDescent="0.2">
      <c r="A132" s="599"/>
      <c r="B132" s="599"/>
      <c r="C132" s="599"/>
      <c r="D132" s="621"/>
      <c r="E132" s="625"/>
      <c r="F132" s="626"/>
      <c r="G132" s="631"/>
      <c r="H132" s="632"/>
    </row>
    <row r="133" spans="1:8" ht="12.75" customHeight="1" x14ac:dyDescent="0.2">
      <c r="A133" s="599"/>
      <c r="B133" s="599"/>
      <c r="C133" s="599"/>
      <c r="D133" s="621"/>
      <c r="E133" s="625"/>
      <c r="F133" s="626"/>
      <c r="G133" s="631"/>
      <c r="H133" s="632"/>
    </row>
    <row r="134" spans="1:8" ht="12.75" customHeight="1" x14ac:dyDescent="0.2">
      <c r="A134" s="600"/>
      <c r="B134" s="600"/>
      <c r="C134" s="600"/>
      <c r="D134" s="622"/>
      <c r="E134" s="627"/>
      <c r="F134" s="628"/>
      <c r="G134" s="633"/>
      <c r="H134" s="634"/>
    </row>
  </sheetData>
  <sheetProtection algorithmName="SHA-512" hashValue="Ut43RjJ55P+DQ+m1ObPHRzQdDLPOyUgii2Qo1LAAMTlSJo9IEbVJzoSTEZ60aRNO2lcJMBD7PazDE1YsRD8F9g==" saltValue="oRMnG+oScGq+jk+ZcqBd2Q==" spinCount="100000" sheet="1" objects="1" scenarios="1"/>
  <mergeCells count="160">
    <mergeCell ref="A130:A134"/>
    <mergeCell ref="B130:B134"/>
    <mergeCell ref="C130:C134"/>
    <mergeCell ref="D130:D134"/>
    <mergeCell ref="E130:F134"/>
    <mergeCell ref="G130:H134"/>
    <mergeCell ref="E121:F122"/>
    <mergeCell ref="G121:H122"/>
    <mergeCell ref="D123:D129"/>
    <mergeCell ref="E123:F127"/>
    <mergeCell ref="G123:H127"/>
    <mergeCell ref="E128:F129"/>
    <mergeCell ref="G128:H129"/>
    <mergeCell ref="A93:B95"/>
    <mergeCell ref="C93:H95"/>
    <mergeCell ref="A97:H97"/>
    <mergeCell ref="D98:H98"/>
    <mergeCell ref="A99:A129"/>
    <mergeCell ref="B99:B129"/>
    <mergeCell ref="C99:C129"/>
    <mergeCell ref="D99:D103"/>
    <mergeCell ref="E99:F103"/>
    <mergeCell ref="G99:H103"/>
    <mergeCell ref="D104:D108"/>
    <mergeCell ref="E104:F108"/>
    <mergeCell ref="G104:H108"/>
    <mergeCell ref="D109:D122"/>
    <mergeCell ref="E109:F113"/>
    <mergeCell ref="G109:H113"/>
    <mergeCell ref="E114:F115"/>
    <mergeCell ref="G114:H115"/>
    <mergeCell ref="E116:F120"/>
    <mergeCell ref="G116:H120"/>
    <mergeCell ref="A86:B86"/>
    <mergeCell ref="A87:B88"/>
    <mergeCell ref="C87:H88"/>
    <mergeCell ref="A89:B90"/>
    <mergeCell ref="C89:H90"/>
    <mergeCell ref="A91:B92"/>
    <mergeCell ref="C91:H92"/>
    <mergeCell ref="A83:B83"/>
    <mergeCell ref="C83:D83"/>
    <mergeCell ref="E83:F83"/>
    <mergeCell ref="G83:H83"/>
    <mergeCell ref="A84:B84"/>
    <mergeCell ref="C84:D84"/>
    <mergeCell ref="E84:F84"/>
    <mergeCell ref="G84:H84"/>
    <mergeCell ref="C80:D80"/>
    <mergeCell ref="C81:D81"/>
    <mergeCell ref="E81:F81"/>
    <mergeCell ref="G81:H81"/>
    <mergeCell ref="A82:B82"/>
    <mergeCell ref="C82:D82"/>
    <mergeCell ref="E82:F82"/>
    <mergeCell ref="G82:H82"/>
    <mergeCell ref="H73:H75"/>
    <mergeCell ref="A76:H76"/>
    <mergeCell ref="A77:A79"/>
    <mergeCell ref="B77:B79"/>
    <mergeCell ref="C77:C79"/>
    <mergeCell ref="D77:D79"/>
    <mergeCell ref="E77:E79"/>
    <mergeCell ref="F77:F79"/>
    <mergeCell ref="G77:G79"/>
    <mergeCell ref="H77:H79"/>
    <mergeCell ref="A72:H72"/>
    <mergeCell ref="A73:A75"/>
    <mergeCell ref="B73:B75"/>
    <mergeCell ref="C73:C75"/>
    <mergeCell ref="D73:D75"/>
    <mergeCell ref="E73:E75"/>
    <mergeCell ref="F73:F75"/>
    <mergeCell ref="G73:G75"/>
    <mergeCell ref="A69:A71"/>
    <mergeCell ref="B69:B71"/>
    <mergeCell ref="C69:C71"/>
    <mergeCell ref="D69:D71"/>
    <mergeCell ref="E69:E71"/>
    <mergeCell ref="F69:F71"/>
    <mergeCell ref="A66:A68"/>
    <mergeCell ref="B66:B68"/>
    <mergeCell ref="C66:C68"/>
    <mergeCell ref="D66:D68"/>
    <mergeCell ref="E66:E68"/>
    <mergeCell ref="F66:F68"/>
    <mergeCell ref="G66:G68"/>
    <mergeCell ref="H66:H68"/>
    <mergeCell ref="G69:G71"/>
    <mergeCell ref="H69:H71"/>
    <mergeCell ref="A62:H62"/>
    <mergeCell ref="A63:A65"/>
    <mergeCell ref="B63:B65"/>
    <mergeCell ref="C63:C65"/>
    <mergeCell ref="D63:D65"/>
    <mergeCell ref="E63:E65"/>
    <mergeCell ref="F63:F65"/>
    <mergeCell ref="G63:G65"/>
    <mergeCell ref="H63:H65"/>
    <mergeCell ref="A55:B57"/>
    <mergeCell ref="C55:D57"/>
    <mergeCell ref="E55:F57"/>
    <mergeCell ref="G55:H57"/>
    <mergeCell ref="A59:A61"/>
    <mergeCell ref="B59:B61"/>
    <mergeCell ref="C59:C61"/>
    <mergeCell ref="D59:D61"/>
    <mergeCell ref="E59:E61"/>
    <mergeCell ref="F59:F61"/>
    <mergeCell ref="G59:G61"/>
    <mergeCell ref="H59:H61"/>
    <mergeCell ref="A52:B52"/>
    <mergeCell ref="C52:D52"/>
    <mergeCell ref="E52:F52"/>
    <mergeCell ref="G52:H52"/>
    <mergeCell ref="A53:B54"/>
    <mergeCell ref="C53:D54"/>
    <mergeCell ref="E53:F54"/>
    <mergeCell ref="G53:H54"/>
    <mergeCell ref="A40:B50"/>
    <mergeCell ref="C40:D50"/>
    <mergeCell ref="E40:F50"/>
    <mergeCell ref="G40:H50"/>
    <mergeCell ref="A51:B51"/>
    <mergeCell ref="C51:D51"/>
    <mergeCell ref="E51:F51"/>
    <mergeCell ref="G51:H51"/>
    <mergeCell ref="A25:B36"/>
    <mergeCell ref="C25:H36"/>
    <mergeCell ref="C38:D38"/>
    <mergeCell ref="E38:F38"/>
    <mergeCell ref="G38:H38"/>
    <mergeCell ref="A39:B39"/>
    <mergeCell ref="C39:D39"/>
    <mergeCell ref="E39:F39"/>
    <mergeCell ref="G39:H39"/>
    <mergeCell ref="A22:B22"/>
    <mergeCell ref="C22:H22"/>
    <mergeCell ref="A23:B23"/>
    <mergeCell ref="C23:H23"/>
    <mergeCell ref="A24:B24"/>
    <mergeCell ref="C24:H24"/>
    <mergeCell ref="A19:B19"/>
    <mergeCell ref="C19:H19"/>
    <mergeCell ref="A20:B20"/>
    <mergeCell ref="C20:H20"/>
    <mergeCell ref="A21:B21"/>
    <mergeCell ref="C21:H21"/>
    <mergeCell ref="A11:B12"/>
    <mergeCell ref="C11:H12"/>
    <mergeCell ref="A14:B17"/>
    <mergeCell ref="C14:H17"/>
    <mergeCell ref="A18:B18"/>
    <mergeCell ref="C18:H18"/>
    <mergeCell ref="A8:B8"/>
    <mergeCell ref="C8:H8"/>
    <mergeCell ref="A9:B9"/>
    <mergeCell ref="C9:H9"/>
    <mergeCell ref="A10:B10"/>
    <mergeCell ref="C10:H10"/>
  </mergeCells>
  <conditionalFormatting sqref="G114:H115 G121:H122 G128:H129">
    <cfRule type="containsText" dxfId="242" priority="1" operator="containsText" text="Yes">
      <formula>NOT(ISERROR(SEARCH("Yes",G114)))</formula>
    </cfRule>
    <cfRule type="containsText" dxfId="241" priority="2" operator="containsText" text="No">
      <formula>NOT(ISERROR(SEARCH("No",G114)))</formula>
    </cfRule>
    <cfRule type="containsText" dxfId="240" priority="3" operator="containsText" text="N/A">
      <formula>NOT(ISERROR(SEARCH("N/A",G114)))</formula>
    </cfRule>
  </conditionalFormatting>
  <pageMargins left="0.7" right="0.7" top="0.75" bottom="0.75" header="0.3" footer="0.3"/>
  <pageSetup scale="54" fitToHeight="0" orientation="landscape" r:id="rId1"/>
  <drawing r:id="rId2"/>
  <legacyDrawing r:id="rId3"/>
  <controls>
    <mc:AlternateContent xmlns:mc="http://schemas.openxmlformats.org/markup-compatibility/2006">
      <mc:Choice Requires="x14">
        <control shapeId="9217"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9217" r:id="rId4" name="backMenuBtn"/>
      </mc:Fallback>
    </mc:AlternateContent>
    <mc:AlternateContent xmlns:mc="http://schemas.openxmlformats.org/markup-compatibility/2006">
      <mc:Choice Requires="x14">
        <control shapeId="9218" r:id="rId6" name="CommandButton1">
          <controlPr defaultSize="0" autoLine="0" r:id="rId7">
            <anchor moveWithCells="1">
              <from>
                <xdr:col>1</xdr:col>
                <xdr:colOff>600075</xdr:colOff>
                <xdr:row>0</xdr:row>
                <xdr:rowOff>0</xdr:rowOff>
              </from>
              <to>
                <xdr:col>1</xdr:col>
                <xdr:colOff>1800225</xdr:colOff>
                <xdr:row>1</xdr:row>
                <xdr:rowOff>114300</xdr:rowOff>
              </to>
            </anchor>
          </controlPr>
        </control>
      </mc:Choice>
      <mc:Fallback>
        <control shapeId="9218" r:id="rId6" name="CommandButton1"/>
      </mc:Fallback>
    </mc:AlternateContent>
    <mc:AlternateContent xmlns:mc="http://schemas.openxmlformats.org/markup-compatibility/2006">
      <mc:Choice Requires="x14">
        <control shapeId="9219" r:id="rId8" name="CommandButton2">
          <controlPr defaultSize="0" autoLine="0" r:id="rId9">
            <anchor moveWithCells="1">
              <from>
                <xdr:col>0</xdr:col>
                <xdr:colOff>1304925</xdr:colOff>
                <xdr:row>0</xdr:row>
                <xdr:rowOff>9525</xdr:rowOff>
              </from>
              <to>
                <xdr:col>1</xdr:col>
                <xdr:colOff>466725</xdr:colOff>
                <xdr:row>1</xdr:row>
                <xdr:rowOff>123825</xdr:rowOff>
              </to>
            </anchor>
          </controlPr>
        </control>
      </mc:Choice>
      <mc:Fallback>
        <control shapeId="9219"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Dropdown!$I$2:$I$5</xm:f>
          </x14:formula1>
          <xm:sqref>G114:H115 G121:H122 G128:H129</xm:sqref>
        </x14:dataValidation>
        <x14:dataValidation type="list" allowBlank="1" showInputMessage="1" showErrorMessage="1">
          <x14:formula1>
            <xm:f>Dropdown!$H$2:$H$13</xm:f>
          </x14:formula1>
          <xm:sqref>C55:H57 C84:H84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pageSetUpPr fitToPage="1"/>
  </sheetPr>
  <dimension ref="A1:H309"/>
  <sheetViews>
    <sheetView showGridLines="0" zoomScale="85" zoomScaleNormal="85" zoomScalePageLayoutView="60" workbookViewId="0">
      <pane xSplit="2" ySplit="14" topLeftCell="C283" activePane="bottomRight" state="frozen"/>
      <selection activeCell="C156" sqref="C156"/>
      <selection pane="topRight" activeCell="C156" sqref="C156"/>
      <selection pane="bottomLeft" activeCell="C156" sqref="C156"/>
      <selection pane="bottomRight" activeCell="C153" sqref="C153:C156"/>
    </sheetView>
  </sheetViews>
  <sheetFormatPr defaultColWidth="9.42578125" defaultRowHeight="12.75" customHeight="1" outlineLevelRow="1" x14ac:dyDescent="0.2"/>
  <cols>
    <col min="1" max="8" width="30.5703125" style="267" customWidth="1"/>
    <col min="9" max="16384" width="9.42578125" style="267"/>
  </cols>
  <sheetData>
    <row r="1" spans="1:8" ht="12.75" customHeight="1" x14ac:dyDescent="0.2">
      <c r="A1" s="267" t="s">
        <v>797</v>
      </c>
    </row>
    <row r="3" spans="1:8" ht="12.75" customHeight="1" outlineLevel="1" x14ac:dyDescent="0.2">
      <c r="A3" s="266" t="str">
        <f>Narrative!A3</f>
        <v>ViewRay</v>
      </c>
    </row>
    <row r="4" spans="1:8" ht="12.75" customHeight="1" outlineLevel="1" x14ac:dyDescent="0.2">
      <c r="A4" s="268" t="s">
        <v>394</v>
      </c>
    </row>
    <row r="5" spans="1:8" ht="12.75" customHeight="1" outlineLevel="1" x14ac:dyDescent="0.2">
      <c r="A5" s="266" t="str">
        <f>Narrative!A5</f>
        <v>Financial Close and Reporting (FCR)</v>
      </c>
    </row>
    <row r="6" spans="1:8" ht="12.75" customHeight="1" outlineLevel="1" x14ac:dyDescent="0.2">
      <c r="A6" s="266" t="str">
        <f>Narrative!A6</f>
        <v>FY 2019</v>
      </c>
    </row>
    <row r="7" spans="1:8" ht="12.75" customHeight="1" outlineLevel="1" x14ac:dyDescent="0.2">
      <c r="A7" s="269"/>
      <c r="B7" s="269"/>
      <c r="C7" s="270"/>
      <c r="D7" s="270"/>
      <c r="E7" s="270"/>
      <c r="F7" s="270"/>
      <c r="G7" s="270"/>
      <c r="H7" s="271"/>
    </row>
    <row r="8" spans="1:8" ht="12.75" customHeight="1" x14ac:dyDescent="0.2">
      <c r="A8" s="473" t="s">
        <v>395</v>
      </c>
      <c r="B8" s="474"/>
      <c r="C8" s="470" t="str">
        <f>RCM!A11</f>
        <v>FCR</v>
      </c>
      <c r="D8" s="471"/>
      <c r="E8" s="471"/>
      <c r="F8" s="471"/>
      <c r="G8" s="471"/>
      <c r="H8" s="472"/>
    </row>
    <row r="9" spans="1:8" ht="12.75" customHeight="1" x14ac:dyDescent="0.2">
      <c r="A9" s="466" t="s">
        <v>396</v>
      </c>
      <c r="B9" s="475"/>
      <c r="C9" s="470" t="str">
        <f>VLOOKUP($C$10,RCM!J:X,4,0)</f>
        <v>Accounting Manager &amp; Above</v>
      </c>
      <c r="D9" s="471"/>
      <c r="E9" s="471"/>
      <c r="F9" s="471"/>
      <c r="G9" s="471"/>
      <c r="H9" s="472"/>
    </row>
    <row r="10" spans="1:8" ht="12.75" customHeight="1" x14ac:dyDescent="0.2">
      <c r="A10" s="459" t="s">
        <v>397</v>
      </c>
      <c r="B10" s="476"/>
      <c r="C10" s="470" t="str">
        <f>RCM!J11</f>
        <v>FCR 2.05</v>
      </c>
      <c r="D10" s="471"/>
      <c r="E10" s="471"/>
      <c r="F10" s="471"/>
      <c r="G10" s="471"/>
      <c r="H10" s="472"/>
    </row>
    <row r="11" spans="1:8" s="284" customFormat="1" ht="12.75" customHeight="1" x14ac:dyDescent="0.25">
      <c r="A11" s="459" t="s">
        <v>398</v>
      </c>
      <c r="B11" s="459"/>
      <c r="C11" s="460" t="str">
        <f>VLOOKUP($C$10,RCM!J:X,2,0)</f>
        <v>All journal entries are reviewed by an individual independent of the preparer at the Accounting Manager level and above.  The reviewer agrees the system journal entry to the Journal Entry Form, as applicable and to the support to evidence proper preparation. The review also includes ensuring that the support is adequate and mathematically accurate.  The review is evidenced by sign off on the Journal Entry Form or sign off on the printed journal entry. As of March 2019 month end, journal entries are routed for approval within QAD, thus the review and approval is evidenced by the QAD system approver.</v>
      </c>
      <c r="D11" s="461"/>
      <c r="E11" s="461"/>
      <c r="F11" s="461"/>
      <c r="G11" s="461"/>
      <c r="H11" s="462"/>
    </row>
    <row r="12" spans="1:8" s="284" customFormat="1" ht="12.75" customHeight="1" x14ac:dyDescent="0.25">
      <c r="A12" s="459"/>
      <c r="B12" s="459"/>
      <c r="C12" s="467"/>
      <c r="D12" s="468"/>
      <c r="E12" s="468"/>
      <c r="F12" s="468"/>
      <c r="G12" s="468"/>
      <c r="H12" s="469"/>
    </row>
    <row r="13" spans="1:8" s="284" customFormat="1" ht="12.75" customHeight="1" x14ac:dyDescent="0.25">
      <c r="A13" s="459"/>
      <c r="B13" s="459"/>
      <c r="C13" s="467"/>
      <c r="D13" s="468"/>
      <c r="E13" s="468"/>
      <c r="F13" s="468"/>
      <c r="G13" s="468"/>
      <c r="H13" s="469"/>
    </row>
    <row r="14" spans="1:8" s="284" customFormat="1" ht="12.75" customHeight="1" x14ac:dyDescent="0.25">
      <c r="A14" s="459"/>
      <c r="B14" s="459"/>
      <c r="C14" s="463" t="e">
        <v>#N/A</v>
      </c>
      <c r="D14" s="464"/>
      <c r="E14" s="464"/>
      <c r="F14" s="464"/>
      <c r="G14" s="464"/>
      <c r="H14" s="465"/>
    </row>
    <row r="15" spans="1:8" s="284" customFormat="1" ht="12.75" customHeight="1" x14ac:dyDescent="0.2">
      <c r="A15" s="272"/>
      <c r="B15" s="273"/>
      <c r="C15" s="274"/>
      <c r="D15" s="274"/>
      <c r="E15" s="274"/>
      <c r="F15" s="274"/>
      <c r="G15" s="274"/>
      <c r="H15" s="271"/>
    </row>
    <row r="16" spans="1:8" s="284" customFormat="1" ht="12.75" customHeight="1" x14ac:dyDescent="0.25">
      <c r="A16" s="466" t="s">
        <v>399</v>
      </c>
      <c r="B16" s="466"/>
      <c r="C16" s="460" t="str">
        <f>VLOOKUP($C$10,RCM!J:X,12,)</f>
        <v>1. Obtain a system generated list of manual journal entries from QAD and make a sample selection.
2. Review the journal entry in QAD against the supporting documentation to ensure that they agree
3. Ensure any underlying schedules agree to support
4. If applicable ensure the JE support is free of clerical error.
5. Verify there is evidence that someone other than the preparer reviewed and approved the journal entry.</v>
      </c>
      <c r="D16" s="461"/>
      <c r="E16" s="461"/>
      <c r="F16" s="461"/>
      <c r="G16" s="461"/>
      <c r="H16" s="462"/>
    </row>
    <row r="17" spans="1:8" s="284" customFormat="1" ht="12.75" customHeight="1" x14ac:dyDescent="0.25">
      <c r="A17" s="466"/>
      <c r="B17" s="466"/>
      <c r="C17" s="467"/>
      <c r="D17" s="468"/>
      <c r="E17" s="468"/>
      <c r="F17" s="468"/>
      <c r="G17" s="468"/>
      <c r="H17" s="469"/>
    </row>
    <row r="18" spans="1:8" s="284" customFormat="1" ht="12.75" customHeight="1" x14ac:dyDescent="0.25">
      <c r="A18" s="466"/>
      <c r="B18" s="466"/>
      <c r="C18" s="467"/>
      <c r="D18" s="468"/>
      <c r="E18" s="468"/>
      <c r="F18" s="468"/>
      <c r="G18" s="468"/>
      <c r="H18" s="469"/>
    </row>
    <row r="19" spans="1:8" s="284" customFormat="1" ht="12.75" customHeight="1" x14ac:dyDescent="0.25">
      <c r="A19" s="466"/>
      <c r="B19" s="466"/>
      <c r="C19" s="467"/>
      <c r="D19" s="468"/>
      <c r="E19" s="468"/>
      <c r="F19" s="468"/>
      <c r="G19" s="468"/>
      <c r="H19" s="469"/>
    </row>
    <row r="20" spans="1:8" s="284" customFormat="1" ht="12.75" customHeight="1" x14ac:dyDescent="0.25">
      <c r="A20" s="466"/>
      <c r="B20" s="466"/>
      <c r="C20" s="467"/>
      <c r="D20" s="468"/>
      <c r="E20" s="468"/>
      <c r="F20" s="468"/>
      <c r="G20" s="468"/>
      <c r="H20" s="469"/>
    </row>
    <row r="21" spans="1:8" ht="12.75" customHeight="1" x14ac:dyDescent="0.2">
      <c r="A21" s="466"/>
      <c r="B21" s="466"/>
      <c r="C21" s="463" t="e">
        <v>#N/A</v>
      </c>
      <c r="D21" s="464"/>
      <c r="E21" s="464"/>
      <c r="F21" s="464"/>
      <c r="G21" s="464"/>
      <c r="H21" s="465"/>
    </row>
    <row r="22" spans="1:8" ht="12.75" customHeight="1" x14ac:dyDescent="0.2">
      <c r="A22" s="466" t="s">
        <v>400</v>
      </c>
      <c r="B22" s="466"/>
      <c r="C22" s="470" t="str">
        <f>VLOOKUP($C$10,RCM!J:X,8,0)</f>
        <v>Inspection</v>
      </c>
      <c r="D22" s="471"/>
      <c r="E22" s="471"/>
      <c r="F22" s="471"/>
      <c r="G22" s="471"/>
      <c r="H22" s="472"/>
    </row>
    <row r="23" spans="1:8" ht="12.75" customHeight="1" x14ac:dyDescent="0.2">
      <c r="A23" s="466" t="s">
        <v>401</v>
      </c>
      <c r="B23" s="475"/>
      <c r="C23" s="470" t="str">
        <f>VLOOKUP($C$10,RCM!J:X,5,0)</f>
        <v>Transactional</v>
      </c>
      <c r="D23" s="471"/>
      <c r="E23" s="471"/>
      <c r="F23" s="471"/>
      <c r="G23" s="471"/>
      <c r="H23" s="472"/>
    </row>
    <row r="24" spans="1:8" ht="12.75" customHeight="1" x14ac:dyDescent="0.2">
      <c r="A24" s="466" t="s">
        <v>402</v>
      </c>
      <c r="B24" s="475"/>
      <c r="C24" s="486">
        <f>VLOOKUP($C$10,RCM!J:X,3,0)</f>
        <v>43525</v>
      </c>
      <c r="D24" s="487"/>
      <c r="E24" s="487"/>
      <c r="F24" s="487"/>
      <c r="G24" s="487"/>
      <c r="H24" s="488"/>
    </row>
    <row r="25" spans="1:8" s="275" customFormat="1" ht="12.75" customHeight="1" x14ac:dyDescent="0.2">
      <c r="A25" s="466" t="s">
        <v>403</v>
      </c>
      <c r="B25" s="475"/>
      <c r="C25" s="486" t="str">
        <f>VLOOKUP($C$10,RCM!J:X,10,0)</f>
        <v>High</v>
      </c>
      <c r="D25" s="487"/>
      <c r="E25" s="487"/>
      <c r="F25" s="487"/>
      <c r="G25" s="487"/>
      <c r="H25" s="488"/>
    </row>
    <row r="26" spans="1:8" ht="12.75" customHeight="1" x14ac:dyDescent="0.2">
      <c r="A26" s="466" t="s">
        <v>404</v>
      </c>
      <c r="B26" s="475"/>
      <c r="C26" s="477" t="str">
        <f>RCM!$AB$3</f>
        <v>1/1/19 - 6/30/19</v>
      </c>
      <c r="D26" s="478"/>
      <c r="E26" s="478"/>
      <c r="F26" s="478"/>
      <c r="G26" s="478"/>
      <c r="H26" s="479"/>
    </row>
    <row r="27" spans="1:8" ht="12.75" customHeight="1" x14ac:dyDescent="0.2">
      <c r="A27" s="466" t="s">
        <v>405</v>
      </c>
      <c r="B27" s="475"/>
      <c r="C27" s="477" t="str">
        <f>VLOOKUP(C$10,RCM!$J$9:$AG$29,20,0)</f>
        <v>365+</v>
      </c>
      <c r="D27" s="478"/>
      <c r="E27" s="478"/>
      <c r="F27" s="478"/>
      <c r="G27" s="478"/>
      <c r="H27" s="479"/>
    </row>
    <row r="28" spans="1:8" ht="12.75" customHeight="1" x14ac:dyDescent="0.2">
      <c r="A28" s="466" t="s">
        <v>406</v>
      </c>
      <c r="B28" s="475"/>
      <c r="C28" s="483" t="str">
        <f>RCM!$AB$5&amp;" "&amp;VLOOKUP(C$10,RCM!$J$9:$AG$29,21,0)&amp;" "&amp;RCM!$AB$6</f>
        <v>Annual sample size: 35 (See sample size derivation below)</v>
      </c>
      <c r="D28" s="484"/>
      <c r="E28" s="484"/>
      <c r="F28" s="484"/>
      <c r="G28" s="484"/>
      <c r="H28" s="485"/>
    </row>
    <row r="29" spans="1:8" ht="12.75" customHeight="1" x14ac:dyDescent="0.2">
      <c r="A29" s="489" t="s">
        <v>407</v>
      </c>
      <c r="B29" s="490"/>
      <c r="C29" s="635" t="s">
        <v>470</v>
      </c>
      <c r="D29" s="636"/>
      <c r="E29" s="636"/>
      <c r="F29" s="636"/>
      <c r="G29" s="636"/>
      <c r="H29" s="637"/>
    </row>
    <row r="30" spans="1:8" ht="12.75" customHeight="1" x14ac:dyDescent="0.2">
      <c r="A30" s="491"/>
      <c r="B30" s="492"/>
      <c r="C30" s="638"/>
      <c r="D30" s="639"/>
      <c r="E30" s="639"/>
      <c r="F30" s="639"/>
      <c r="G30" s="639"/>
      <c r="H30" s="640"/>
    </row>
    <row r="31" spans="1:8" ht="12.75" customHeight="1" x14ac:dyDescent="0.2">
      <c r="A31" s="491"/>
      <c r="B31" s="492"/>
      <c r="C31" s="638"/>
      <c r="D31" s="639"/>
      <c r="E31" s="639"/>
      <c r="F31" s="639"/>
      <c r="G31" s="639"/>
      <c r="H31" s="640"/>
    </row>
    <row r="32" spans="1:8" ht="12.75" customHeight="1" x14ac:dyDescent="0.2">
      <c r="A32" s="491"/>
      <c r="B32" s="492"/>
      <c r="C32" s="638"/>
      <c r="D32" s="639"/>
      <c r="E32" s="639"/>
      <c r="F32" s="639"/>
      <c r="G32" s="639"/>
      <c r="H32" s="640"/>
    </row>
    <row r="33" spans="1:8" ht="12.75" customHeight="1" x14ac:dyDescent="0.2">
      <c r="A33" s="491"/>
      <c r="B33" s="492"/>
      <c r="C33" s="638"/>
      <c r="D33" s="639"/>
      <c r="E33" s="639"/>
      <c r="F33" s="639"/>
      <c r="G33" s="639"/>
      <c r="H33" s="640"/>
    </row>
    <row r="34" spans="1:8" ht="12.75" customHeight="1" x14ac:dyDescent="0.2">
      <c r="A34" s="491"/>
      <c r="B34" s="492"/>
      <c r="C34" s="638"/>
      <c r="D34" s="639"/>
      <c r="E34" s="639"/>
      <c r="F34" s="639"/>
      <c r="G34" s="639"/>
      <c r="H34" s="640"/>
    </row>
    <row r="35" spans="1:8" ht="12.75" customHeight="1" x14ac:dyDescent="0.2">
      <c r="A35" s="491"/>
      <c r="B35" s="492"/>
      <c r="C35" s="638"/>
      <c r="D35" s="639"/>
      <c r="E35" s="639"/>
      <c r="F35" s="639"/>
      <c r="G35" s="639"/>
      <c r="H35" s="640"/>
    </row>
    <row r="36" spans="1:8" s="275" customFormat="1" ht="12.75" customHeight="1" x14ac:dyDescent="0.2">
      <c r="A36" s="493"/>
      <c r="B36" s="494"/>
      <c r="C36" s="641"/>
      <c r="D36" s="642"/>
      <c r="E36" s="642"/>
      <c r="F36" s="642"/>
      <c r="G36" s="642"/>
      <c r="H36" s="643"/>
    </row>
    <row r="37" spans="1:8" ht="12.75" customHeight="1" x14ac:dyDescent="0.2">
      <c r="A37" s="277"/>
      <c r="B37" s="277"/>
      <c r="C37" s="278"/>
      <c r="D37" s="278"/>
      <c r="E37" s="278"/>
      <c r="F37" s="278"/>
      <c r="G37" s="278"/>
      <c r="H37" s="278"/>
    </row>
    <row r="38" spans="1:8" ht="12.75" customHeight="1" x14ac:dyDescent="0.2">
      <c r="A38" s="279"/>
      <c r="B38" s="279"/>
      <c r="C38" s="504" t="s">
        <v>409</v>
      </c>
      <c r="D38" s="505"/>
      <c r="E38" s="506" t="s">
        <v>410</v>
      </c>
      <c r="F38" s="507"/>
      <c r="G38" s="506" t="s">
        <v>411</v>
      </c>
      <c r="H38" s="507"/>
    </row>
    <row r="39" spans="1:8" ht="12.75" customHeight="1" x14ac:dyDescent="0.2">
      <c r="A39" s="508" t="s">
        <v>412</v>
      </c>
      <c r="B39" s="509"/>
      <c r="C39" s="510">
        <f>VLOOKUP($C$10,RCM!$J$9:$AG$29,22,0)</f>
        <v>21</v>
      </c>
      <c r="D39" s="511"/>
      <c r="E39" s="510">
        <f>VLOOKUP($C$10,RCM!$J$9:$AG$29,23,0)</f>
        <v>11</v>
      </c>
      <c r="F39" s="511"/>
      <c r="G39" s="510">
        <f>VLOOKUP($C$10,RCM!$J$9:$AG$29,24,0)</f>
        <v>3</v>
      </c>
      <c r="H39" s="511"/>
    </row>
    <row r="40" spans="1:8" ht="12.75" customHeight="1" outlineLevel="1" x14ac:dyDescent="0.2">
      <c r="A40" s="523" t="s">
        <v>413</v>
      </c>
      <c r="B40" s="524"/>
      <c r="C40" s="529" t="s">
        <v>471</v>
      </c>
      <c r="D40" s="530"/>
      <c r="E40" s="529"/>
      <c r="F40" s="530"/>
      <c r="G40" s="529"/>
      <c r="H40" s="530"/>
    </row>
    <row r="41" spans="1:8" ht="12.75" customHeight="1" outlineLevel="1" x14ac:dyDescent="0.2">
      <c r="A41" s="525"/>
      <c r="B41" s="526"/>
      <c r="C41" s="531"/>
      <c r="D41" s="532"/>
      <c r="E41" s="531"/>
      <c r="F41" s="532"/>
      <c r="G41" s="531"/>
      <c r="H41" s="532"/>
    </row>
    <row r="42" spans="1:8" ht="12.75" customHeight="1" outlineLevel="1" x14ac:dyDescent="0.2">
      <c r="A42" s="525"/>
      <c r="B42" s="526"/>
      <c r="C42" s="531"/>
      <c r="D42" s="532"/>
      <c r="E42" s="531"/>
      <c r="F42" s="532"/>
      <c r="G42" s="531"/>
      <c r="H42" s="532"/>
    </row>
    <row r="43" spans="1:8" ht="12.75" customHeight="1" outlineLevel="1" x14ac:dyDescent="0.2">
      <c r="A43" s="525"/>
      <c r="B43" s="526"/>
      <c r="C43" s="531"/>
      <c r="D43" s="532"/>
      <c r="E43" s="531"/>
      <c r="F43" s="532"/>
      <c r="G43" s="531"/>
      <c r="H43" s="532"/>
    </row>
    <row r="44" spans="1:8" ht="12.75" customHeight="1" outlineLevel="1" x14ac:dyDescent="0.2">
      <c r="A44" s="525"/>
      <c r="B44" s="526"/>
      <c r="C44" s="531"/>
      <c r="D44" s="532"/>
      <c r="E44" s="531"/>
      <c r="F44" s="532"/>
      <c r="G44" s="531"/>
      <c r="H44" s="532"/>
    </row>
    <row r="45" spans="1:8" ht="12.75" customHeight="1" outlineLevel="1" x14ac:dyDescent="0.2">
      <c r="A45" s="525"/>
      <c r="B45" s="526"/>
      <c r="C45" s="531"/>
      <c r="D45" s="532"/>
      <c r="E45" s="531"/>
      <c r="F45" s="532"/>
      <c r="G45" s="531"/>
      <c r="H45" s="532"/>
    </row>
    <row r="46" spans="1:8" ht="12.75" customHeight="1" outlineLevel="1" x14ac:dyDescent="0.2">
      <c r="A46" s="525"/>
      <c r="B46" s="526"/>
      <c r="C46" s="531"/>
      <c r="D46" s="532"/>
      <c r="E46" s="531"/>
      <c r="F46" s="532"/>
      <c r="G46" s="531"/>
      <c r="H46" s="532"/>
    </row>
    <row r="47" spans="1:8" ht="12.75" customHeight="1" outlineLevel="1" x14ac:dyDescent="0.2">
      <c r="A47" s="525"/>
      <c r="B47" s="526"/>
      <c r="C47" s="531"/>
      <c r="D47" s="532"/>
      <c r="E47" s="531"/>
      <c r="F47" s="532"/>
      <c r="G47" s="531"/>
      <c r="H47" s="532"/>
    </row>
    <row r="48" spans="1:8" ht="12.75" customHeight="1" outlineLevel="1" x14ac:dyDescent="0.2">
      <c r="A48" s="525"/>
      <c r="B48" s="526"/>
      <c r="C48" s="531"/>
      <c r="D48" s="532"/>
      <c r="E48" s="531"/>
      <c r="F48" s="532"/>
      <c r="G48" s="531"/>
      <c r="H48" s="532"/>
    </row>
    <row r="49" spans="1:8" ht="12.75" customHeight="1" outlineLevel="1" x14ac:dyDescent="0.2">
      <c r="A49" s="525"/>
      <c r="B49" s="526"/>
      <c r="C49" s="531"/>
      <c r="D49" s="532"/>
      <c r="E49" s="531"/>
      <c r="F49" s="532"/>
      <c r="G49" s="531"/>
      <c r="H49" s="532"/>
    </row>
    <row r="50" spans="1:8" ht="12.75" customHeight="1" outlineLevel="1" x14ac:dyDescent="0.2">
      <c r="A50" s="525"/>
      <c r="B50" s="526"/>
      <c r="C50" s="531"/>
      <c r="D50" s="532"/>
      <c r="E50" s="531"/>
      <c r="F50" s="532"/>
      <c r="G50" s="531"/>
      <c r="H50" s="532"/>
    </row>
    <row r="51" spans="1:8" ht="12.75" customHeight="1" outlineLevel="1" x14ac:dyDescent="0.2">
      <c r="A51" s="525"/>
      <c r="B51" s="526"/>
      <c r="C51" s="531"/>
      <c r="D51" s="532"/>
      <c r="E51" s="531"/>
      <c r="F51" s="532"/>
      <c r="G51" s="531"/>
      <c r="H51" s="532"/>
    </row>
    <row r="52" spans="1:8" ht="12.75" customHeight="1" outlineLevel="1" x14ac:dyDescent="0.2">
      <c r="A52" s="525"/>
      <c r="B52" s="526"/>
      <c r="C52" s="531"/>
      <c r="D52" s="532"/>
      <c r="E52" s="531"/>
      <c r="F52" s="532"/>
      <c r="G52" s="531"/>
      <c r="H52" s="532"/>
    </row>
    <row r="53" spans="1:8" ht="12.75" customHeight="1" outlineLevel="1" x14ac:dyDescent="0.2">
      <c r="A53" s="525"/>
      <c r="B53" s="526"/>
      <c r="C53" s="531"/>
      <c r="D53" s="532"/>
      <c r="E53" s="531"/>
      <c r="F53" s="532"/>
      <c r="G53" s="531"/>
      <c r="H53" s="532"/>
    </row>
    <row r="54" spans="1:8" ht="12.75" customHeight="1" outlineLevel="1" x14ac:dyDescent="0.2">
      <c r="A54" s="525"/>
      <c r="B54" s="526"/>
      <c r="C54" s="531"/>
      <c r="D54" s="532"/>
      <c r="E54" s="531"/>
      <c r="F54" s="532"/>
      <c r="G54" s="531"/>
      <c r="H54" s="532"/>
    </row>
    <row r="55" spans="1:8" ht="12.75" customHeight="1" outlineLevel="1" x14ac:dyDescent="0.2">
      <c r="A55" s="525"/>
      <c r="B55" s="526"/>
      <c r="C55" s="531"/>
      <c r="D55" s="532"/>
      <c r="E55" s="531"/>
      <c r="F55" s="532"/>
      <c r="G55" s="531"/>
      <c r="H55" s="532"/>
    </row>
    <row r="56" spans="1:8" ht="12.75" customHeight="1" outlineLevel="1" x14ac:dyDescent="0.2">
      <c r="A56" s="525"/>
      <c r="B56" s="526"/>
      <c r="C56" s="531"/>
      <c r="D56" s="532"/>
      <c r="E56" s="531"/>
      <c r="F56" s="532"/>
      <c r="G56" s="531"/>
      <c r="H56" s="532"/>
    </row>
    <row r="57" spans="1:8" ht="12.75" customHeight="1" outlineLevel="1" x14ac:dyDescent="0.2">
      <c r="A57" s="525"/>
      <c r="B57" s="526"/>
      <c r="C57" s="531"/>
      <c r="D57" s="532"/>
      <c r="E57" s="531"/>
      <c r="F57" s="532"/>
      <c r="G57" s="531"/>
      <c r="H57" s="532"/>
    </row>
    <row r="58" spans="1:8" ht="12.75" customHeight="1" outlineLevel="1" x14ac:dyDescent="0.2">
      <c r="A58" s="525"/>
      <c r="B58" s="526"/>
      <c r="C58" s="531"/>
      <c r="D58" s="532"/>
      <c r="E58" s="531"/>
      <c r="F58" s="532"/>
      <c r="G58" s="531"/>
      <c r="H58" s="532"/>
    </row>
    <row r="59" spans="1:8" ht="12.75" customHeight="1" outlineLevel="1" x14ac:dyDescent="0.2">
      <c r="A59" s="525"/>
      <c r="B59" s="526"/>
      <c r="C59" s="531"/>
      <c r="D59" s="532"/>
      <c r="E59" s="531"/>
      <c r="F59" s="532"/>
      <c r="G59" s="531"/>
      <c r="H59" s="532"/>
    </row>
    <row r="60" spans="1:8" ht="12.75" customHeight="1" outlineLevel="1" x14ac:dyDescent="0.2">
      <c r="A60" s="525"/>
      <c r="B60" s="526"/>
      <c r="C60" s="531"/>
      <c r="D60" s="532"/>
      <c r="E60" s="531"/>
      <c r="F60" s="532"/>
      <c r="G60" s="531"/>
      <c r="H60" s="532"/>
    </row>
    <row r="61" spans="1:8" ht="12.75" customHeight="1" outlineLevel="1" x14ac:dyDescent="0.2">
      <c r="A61" s="525"/>
      <c r="B61" s="526"/>
      <c r="C61" s="531"/>
      <c r="D61" s="532"/>
      <c r="E61" s="531"/>
      <c r="F61" s="532"/>
      <c r="G61" s="531"/>
      <c r="H61" s="532"/>
    </row>
    <row r="62" spans="1:8" ht="12.75" customHeight="1" outlineLevel="1" x14ac:dyDescent="0.2">
      <c r="A62" s="525"/>
      <c r="B62" s="526"/>
      <c r="C62" s="531"/>
      <c r="D62" s="532"/>
      <c r="E62" s="531"/>
      <c r="F62" s="532"/>
      <c r="G62" s="531"/>
      <c r="H62" s="532"/>
    </row>
    <row r="63" spans="1:8" ht="12.75" customHeight="1" outlineLevel="1" x14ac:dyDescent="0.2">
      <c r="A63" s="525"/>
      <c r="B63" s="526"/>
      <c r="C63" s="531"/>
      <c r="D63" s="532"/>
      <c r="E63" s="531"/>
      <c r="F63" s="532"/>
      <c r="G63" s="531"/>
      <c r="H63" s="532"/>
    </row>
    <row r="64" spans="1:8" ht="12.75" customHeight="1" outlineLevel="1" x14ac:dyDescent="0.2">
      <c r="A64" s="525"/>
      <c r="B64" s="526"/>
      <c r="C64" s="531"/>
      <c r="D64" s="532"/>
      <c r="E64" s="531"/>
      <c r="F64" s="532"/>
      <c r="G64" s="531"/>
      <c r="H64" s="532"/>
    </row>
    <row r="65" spans="1:8" ht="12.75" customHeight="1" outlineLevel="1" x14ac:dyDescent="0.2">
      <c r="A65" s="525"/>
      <c r="B65" s="526"/>
      <c r="C65" s="531"/>
      <c r="D65" s="532"/>
      <c r="E65" s="531"/>
      <c r="F65" s="532"/>
      <c r="G65" s="531"/>
      <c r="H65" s="532"/>
    </row>
    <row r="66" spans="1:8" ht="12.75" customHeight="1" outlineLevel="1" x14ac:dyDescent="0.2">
      <c r="A66" s="525"/>
      <c r="B66" s="526"/>
      <c r="C66" s="531"/>
      <c r="D66" s="532"/>
      <c r="E66" s="531"/>
      <c r="F66" s="532"/>
      <c r="G66" s="531"/>
      <c r="H66" s="532"/>
    </row>
    <row r="67" spans="1:8" ht="12.75" customHeight="1" outlineLevel="1" x14ac:dyDescent="0.2">
      <c r="A67" s="525"/>
      <c r="B67" s="526"/>
      <c r="C67" s="531"/>
      <c r="D67" s="532"/>
      <c r="E67" s="531"/>
      <c r="F67" s="532"/>
      <c r="G67" s="531"/>
      <c r="H67" s="532"/>
    </row>
    <row r="68" spans="1:8" ht="12.75" customHeight="1" outlineLevel="1" x14ac:dyDescent="0.2">
      <c r="A68" s="525"/>
      <c r="B68" s="526"/>
      <c r="C68" s="531"/>
      <c r="D68" s="532"/>
      <c r="E68" s="531"/>
      <c r="F68" s="532"/>
      <c r="G68" s="531"/>
      <c r="H68" s="532"/>
    </row>
    <row r="69" spans="1:8" ht="12.75" customHeight="1" outlineLevel="1" x14ac:dyDescent="0.2">
      <c r="A69" s="525"/>
      <c r="B69" s="526"/>
      <c r="C69" s="531"/>
      <c r="D69" s="532"/>
      <c r="E69" s="531"/>
      <c r="F69" s="532"/>
      <c r="G69" s="531"/>
      <c r="H69" s="532"/>
    </row>
    <row r="70" spans="1:8" ht="12.75" customHeight="1" outlineLevel="1" x14ac:dyDescent="0.2">
      <c r="A70" s="525"/>
      <c r="B70" s="526"/>
      <c r="C70" s="531"/>
      <c r="D70" s="532"/>
      <c r="E70" s="531"/>
      <c r="F70" s="532"/>
      <c r="G70" s="531"/>
      <c r="H70" s="532"/>
    </row>
    <row r="71" spans="1:8" ht="12.75" customHeight="1" outlineLevel="1" x14ac:dyDescent="0.2">
      <c r="A71" s="525"/>
      <c r="B71" s="526"/>
      <c r="C71" s="531"/>
      <c r="D71" s="532"/>
      <c r="E71" s="531"/>
      <c r="F71" s="532"/>
      <c r="G71" s="531"/>
      <c r="H71" s="532"/>
    </row>
    <row r="72" spans="1:8" ht="12.75" customHeight="1" outlineLevel="1" x14ac:dyDescent="0.2">
      <c r="A72" s="525"/>
      <c r="B72" s="526"/>
      <c r="C72" s="531"/>
      <c r="D72" s="532"/>
      <c r="E72" s="531"/>
      <c r="F72" s="532"/>
      <c r="G72" s="531"/>
      <c r="H72" s="532"/>
    </row>
    <row r="73" spans="1:8" ht="12.75" customHeight="1" outlineLevel="1" x14ac:dyDescent="0.2">
      <c r="A73" s="525"/>
      <c r="B73" s="526"/>
      <c r="C73" s="531"/>
      <c r="D73" s="532"/>
      <c r="E73" s="531"/>
      <c r="F73" s="532"/>
      <c r="G73" s="531"/>
      <c r="H73" s="532"/>
    </row>
    <row r="74" spans="1:8" ht="12.75" customHeight="1" outlineLevel="1" x14ac:dyDescent="0.2">
      <c r="A74" s="525"/>
      <c r="B74" s="526"/>
      <c r="C74" s="531"/>
      <c r="D74" s="532"/>
      <c r="E74" s="531"/>
      <c r="F74" s="532"/>
      <c r="G74" s="531"/>
      <c r="H74" s="532"/>
    </row>
    <row r="75" spans="1:8" ht="12.75" customHeight="1" outlineLevel="1" x14ac:dyDescent="0.2">
      <c r="A75" s="525"/>
      <c r="B75" s="526"/>
      <c r="C75" s="531"/>
      <c r="D75" s="532"/>
      <c r="E75" s="531"/>
      <c r="F75" s="532"/>
      <c r="G75" s="531"/>
      <c r="H75" s="532"/>
    </row>
    <row r="76" spans="1:8" ht="12.75" customHeight="1" outlineLevel="1" x14ac:dyDescent="0.2">
      <c r="A76" s="525"/>
      <c r="B76" s="526"/>
      <c r="C76" s="531"/>
      <c r="D76" s="532"/>
      <c r="E76" s="531"/>
      <c r="F76" s="532"/>
      <c r="G76" s="531"/>
      <c r="H76" s="532"/>
    </row>
    <row r="77" spans="1:8" ht="12.75" customHeight="1" outlineLevel="1" x14ac:dyDescent="0.2">
      <c r="A77" s="525"/>
      <c r="B77" s="526"/>
      <c r="C77" s="531"/>
      <c r="D77" s="532"/>
      <c r="E77" s="531"/>
      <c r="F77" s="532"/>
      <c r="G77" s="531"/>
      <c r="H77" s="532"/>
    </row>
    <row r="78" spans="1:8" ht="12.75" customHeight="1" outlineLevel="1" x14ac:dyDescent="0.2">
      <c r="A78" s="525"/>
      <c r="B78" s="526"/>
      <c r="C78" s="531"/>
      <c r="D78" s="532"/>
      <c r="E78" s="531"/>
      <c r="F78" s="532"/>
      <c r="G78" s="531"/>
      <c r="H78" s="532"/>
    </row>
    <row r="79" spans="1:8" s="284" customFormat="1" ht="12.75" customHeight="1" outlineLevel="1" x14ac:dyDescent="0.25">
      <c r="A79" s="525"/>
      <c r="B79" s="526"/>
      <c r="C79" s="531"/>
      <c r="D79" s="532"/>
      <c r="E79" s="531"/>
      <c r="F79" s="532"/>
      <c r="G79" s="531"/>
      <c r="H79" s="532"/>
    </row>
    <row r="80" spans="1:8" s="284" customFormat="1" ht="12.75" customHeight="1" outlineLevel="1" x14ac:dyDescent="0.25">
      <c r="A80" s="525"/>
      <c r="B80" s="526"/>
      <c r="C80" s="531"/>
      <c r="D80" s="532"/>
      <c r="E80" s="531"/>
      <c r="F80" s="532"/>
      <c r="G80" s="531"/>
      <c r="H80" s="532"/>
    </row>
    <row r="81" spans="1:8" s="284" customFormat="1" ht="12.75" customHeight="1" x14ac:dyDescent="0.25">
      <c r="A81" s="512" t="s">
        <v>415</v>
      </c>
      <c r="B81" s="513"/>
      <c r="C81" s="540" t="s">
        <v>472</v>
      </c>
      <c r="D81" s="511"/>
      <c r="E81" s="540"/>
      <c r="F81" s="541"/>
      <c r="G81" s="540"/>
      <c r="H81" s="541"/>
    </row>
    <row r="82" spans="1:8" s="284" customFormat="1" ht="12.75" customHeight="1" x14ac:dyDescent="0.25">
      <c r="A82" s="512" t="s">
        <v>417</v>
      </c>
      <c r="B82" s="513"/>
      <c r="C82" s="514">
        <v>43706</v>
      </c>
      <c r="D82" s="511"/>
      <c r="E82" s="644"/>
      <c r="F82" s="645"/>
      <c r="G82" s="644"/>
      <c r="H82" s="645"/>
    </row>
    <row r="83" spans="1:8" s="284" customFormat="1" ht="12.75" customHeight="1" x14ac:dyDescent="0.25">
      <c r="A83" s="508" t="s">
        <v>418</v>
      </c>
      <c r="B83" s="508"/>
      <c r="C83" s="515" t="str">
        <f>VLOOKUP(C10,'WT (WT)'!$A$8:$K$24,11,0)</f>
        <v>Effective</v>
      </c>
      <c r="D83" s="516"/>
      <c r="E83" s="515"/>
      <c r="F83" s="516"/>
      <c r="G83" s="519"/>
      <c r="H83" s="520"/>
    </row>
    <row r="84" spans="1:8" s="284" customFormat="1" ht="12.75" customHeight="1" x14ac:dyDescent="0.25">
      <c r="A84" s="508"/>
      <c r="B84" s="508"/>
      <c r="C84" s="517"/>
      <c r="D84" s="518"/>
      <c r="E84" s="517"/>
      <c r="F84" s="518"/>
      <c r="G84" s="521"/>
      <c r="H84" s="522"/>
    </row>
    <row r="85" spans="1:8" s="284" customFormat="1" ht="12.75" customHeight="1" x14ac:dyDescent="0.25">
      <c r="A85" s="508" t="s">
        <v>419</v>
      </c>
      <c r="B85" s="508"/>
      <c r="C85" s="519" t="s">
        <v>330</v>
      </c>
      <c r="D85" s="520"/>
      <c r="E85" s="519"/>
      <c r="F85" s="520"/>
      <c r="G85" s="519"/>
      <c r="H85" s="520"/>
    </row>
    <row r="86" spans="1:8" s="284" customFormat="1" ht="12.75" customHeight="1" x14ac:dyDescent="0.25">
      <c r="A86" s="508"/>
      <c r="B86" s="508"/>
      <c r="C86" s="542"/>
      <c r="D86" s="543"/>
      <c r="E86" s="542"/>
      <c r="F86" s="543"/>
      <c r="G86" s="542"/>
      <c r="H86" s="543"/>
    </row>
    <row r="87" spans="1:8" s="284" customFormat="1" ht="12.75" customHeight="1" x14ac:dyDescent="0.25">
      <c r="A87" s="508"/>
      <c r="B87" s="508"/>
      <c r="C87" s="521"/>
      <c r="D87" s="522"/>
      <c r="E87" s="521"/>
      <c r="F87" s="522"/>
      <c r="G87" s="521"/>
      <c r="H87" s="522"/>
    </row>
    <row r="88" spans="1:8" s="284" customFormat="1" ht="12.75" customHeight="1" x14ac:dyDescent="0.2">
      <c r="A88" s="280"/>
      <c r="B88" s="280"/>
      <c r="C88" s="271"/>
      <c r="D88" s="271"/>
      <c r="E88" s="271"/>
      <c r="F88" s="271"/>
      <c r="G88" s="281"/>
      <c r="H88" s="271"/>
    </row>
    <row r="89" spans="1:8" s="284" customFormat="1" ht="12.75" customHeight="1" x14ac:dyDescent="0.25">
      <c r="A89" s="544" t="s">
        <v>420</v>
      </c>
      <c r="B89" s="544" t="s">
        <v>473</v>
      </c>
      <c r="C89" s="544" t="s">
        <v>474</v>
      </c>
      <c r="D89" s="544" t="s">
        <v>475</v>
      </c>
      <c r="E89" s="544" t="s">
        <v>476</v>
      </c>
      <c r="F89" s="544" t="s">
        <v>477</v>
      </c>
      <c r="G89" s="544" t="s">
        <v>478</v>
      </c>
      <c r="H89" s="544" t="s">
        <v>479</v>
      </c>
    </row>
    <row r="90" spans="1:8" s="284" customFormat="1" ht="12.75" customHeight="1" x14ac:dyDescent="0.25">
      <c r="A90" s="544"/>
      <c r="B90" s="544"/>
      <c r="C90" s="544"/>
      <c r="D90" s="544"/>
      <c r="E90" s="544"/>
      <c r="F90" s="544"/>
      <c r="G90" s="544"/>
      <c r="H90" s="544"/>
    </row>
    <row r="91" spans="1:8" s="284" customFormat="1" ht="12.75" customHeight="1" x14ac:dyDescent="0.25">
      <c r="A91" s="544"/>
      <c r="B91" s="544"/>
      <c r="C91" s="544"/>
      <c r="D91" s="544"/>
      <c r="E91" s="544"/>
      <c r="F91" s="544"/>
      <c r="G91" s="544"/>
      <c r="H91" s="544"/>
    </row>
    <row r="92" spans="1:8" s="284" customFormat="1" ht="12.75" customHeight="1" x14ac:dyDescent="0.2">
      <c r="A92" s="545" t="s">
        <v>428</v>
      </c>
      <c r="B92" s="546"/>
      <c r="C92" s="547"/>
      <c r="D92" s="547"/>
      <c r="E92" s="547"/>
      <c r="F92" s="547"/>
      <c r="G92" s="547"/>
      <c r="H92" s="548"/>
    </row>
    <row r="93" spans="1:8" s="284" customFormat="1" ht="12.75" customHeight="1" outlineLevel="1" x14ac:dyDescent="0.25">
      <c r="A93" s="646">
        <v>1</v>
      </c>
      <c r="B93" s="648" t="s">
        <v>480</v>
      </c>
      <c r="C93" s="650">
        <v>43555</v>
      </c>
      <c r="D93" s="654">
        <v>252708.3</v>
      </c>
      <c r="E93" s="646" t="s">
        <v>279</v>
      </c>
      <c r="F93" s="656" t="s">
        <v>481</v>
      </c>
      <c r="G93" s="656" t="s">
        <v>482</v>
      </c>
      <c r="H93" s="658" t="s">
        <v>432</v>
      </c>
    </row>
    <row r="94" spans="1:8" s="284" customFormat="1" ht="12.75" customHeight="1" outlineLevel="1" x14ac:dyDescent="0.25">
      <c r="A94" s="647"/>
      <c r="B94" s="649"/>
      <c r="C94" s="651"/>
      <c r="D94" s="655"/>
      <c r="E94" s="647"/>
      <c r="F94" s="657"/>
      <c r="G94" s="657"/>
      <c r="H94" s="659"/>
    </row>
    <row r="95" spans="1:8" s="284" customFormat="1" ht="12.75" customHeight="1" outlineLevel="1" x14ac:dyDescent="0.25">
      <c r="A95" s="647"/>
      <c r="B95" s="649"/>
      <c r="C95" s="652"/>
      <c r="D95" s="655"/>
      <c r="E95" s="647"/>
      <c r="F95" s="647"/>
      <c r="G95" s="647"/>
      <c r="H95" s="659"/>
    </row>
    <row r="96" spans="1:8" s="284" customFormat="1" ht="12.75" customHeight="1" outlineLevel="1" x14ac:dyDescent="0.25">
      <c r="A96" s="647"/>
      <c r="B96" s="649"/>
      <c r="C96" s="653"/>
      <c r="D96" s="655"/>
      <c r="E96" s="647"/>
      <c r="F96" s="647"/>
      <c r="G96" s="647"/>
      <c r="H96" s="659"/>
    </row>
    <row r="97" spans="1:8" s="284" customFormat="1" ht="12.75" customHeight="1" outlineLevel="1" x14ac:dyDescent="0.25">
      <c r="A97" s="660">
        <v>2</v>
      </c>
      <c r="B97" s="661" t="s">
        <v>483</v>
      </c>
      <c r="C97" s="662">
        <v>43555</v>
      </c>
      <c r="D97" s="664">
        <v>156400.01999999999</v>
      </c>
      <c r="E97" s="665" t="s">
        <v>279</v>
      </c>
      <c r="F97" s="665" t="s">
        <v>484</v>
      </c>
      <c r="G97" s="665" t="s">
        <v>485</v>
      </c>
      <c r="H97" s="667"/>
    </row>
    <row r="98" spans="1:8" s="284" customFormat="1" ht="12.75" customHeight="1" outlineLevel="1" x14ac:dyDescent="0.25">
      <c r="A98" s="660"/>
      <c r="B98" s="661"/>
      <c r="C98" s="662"/>
      <c r="D98" s="664"/>
      <c r="E98" s="666"/>
      <c r="F98" s="666"/>
      <c r="G98" s="666"/>
      <c r="H98" s="667"/>
    </row>
    <row r="99" spans="1:8" s="284" customFormat="1" ht="12.75" customHeight="1" outlineLevel="1" x14ac:dyDescent="0.25">
      <c r="A99" s="660"/>
      <c r="B99" s="661"/>
      <c r="C99" s="662"/>
      <c r="D99" s="664"/>
      <c r="E99" s="666"/>
      <c r="F99" s="666"/>
      <c r="G99" s="666"/>
      <c r="H99" s="667"/>
    </row>
    <row r="100" spans="1:8" s="284" customFormat="1" ht="12.75" customHeight="1" outlineLevel="1" x14ac:dyDescent="0.25">
      <c r="A100" s="660"/>
      <c r="B100" s="661"/>
      <c r="C100" s="663"/>
      <c r="D100" s="664"/>
      <c r="E100" s="666"/>
      <c r="F100" s="666"/>
      <c r="G100" s="666"/>
      <c r="H100" s="667"/>
    </row>
    <row r="101" spans="1:8" s="284" customFormat="1" ht="12.75" customHeight="1" outlineLevel="1" x14ac:dyDescent="0.25">
      <c r="A101" s="660">
        <v>3</v>
      </c>
      <c r="B101" s="661" t="s">
        <v>486</v>
      </c>
      <c r="C101" s="662">
        <v>43555</v>
      </c>
      <c r="D101" s="664">
        <v>1000000</v>
      </c>
      <c r="E101" s="665" t="s">
        <v>279</v>
      </c>
      <c r="F101" s="656" t="s">
        <v>487</v>
      </c>
      <c r="G101" s="665" t="s">
        <v>488</v>
      </c>
      <c r="H101" s="668"/>
    </row>
    <row r="102" spans="1:8" s="284" customFormat="1" ht="12.75" customHeight="1" outlineLevel="1" x14ac:dyDescent="0.25">
      <c r="A102" s="660"/>
      <c r="B102" s="661"/>
      <c r="C102" s="662"/>
      <c r="D102" s="664"/>
      <c r="E102" s="666"/>
      <c r="F102" s="647"/>
      <c r="G102" s="666"/>
      <c r="H102" s="668"/>
    </row>
    <row r="103" spans="1:8" s="284" customFormat="1" ht="12.75" customHeight="1" outlineLevel="1" x14ac:dyDescent="0.25">
      <c r="A103" s="660"/>
      <c r="B103" s="661"/>
      <c r="C103" s="662"/>
      <c r="D103" s="664"/>
      <c r="E103" s="666"/>
      <c r="F103" s="647"/>
      <c r="G103" s="666"/>
      <c r="H103" s="668"/>
    </row>
    <row r="104" spans="1:8" s="284" customFormat="1" ht="12.75" customHeight="1" outlineLevel="1" x14ac:dyDescent="0.25">
      <c r="A104" s="660"/>
      <c r="B104" s="661"/>
      <c r="C104" s="663"/>
      <c r="D104" s="664"/>
      <c r="E104" s="666"/>
      <c r="F104" s="670"/>
      <c r="G104" s="666"/>
      <c r="H104" s="668"/>
    </row>
    <row r="105" spans="1:8" s="284" customFormat="1" ht="12.75" customHeight="1" outlineLevel="1" x14ac:dyDescent="0.25">
      <c r="A105" s="666">
        <v>4</v>
      </c>
      <c r="B105" s="661" t="s">
        <v>489</v>
      </c>
      <c r="C105" s="662">
        <v>43555</v>
      </c>
      <c r="D105" s="664">
        <v>145680.81</v>
      </c>
      <c r="E105" s="666" t="s">
        <v>279</v>
      </c>
      <c r="F105" s="665" t="s">
        <v>484</v>
      </c>
      <c r="G105" s="665" t="s">
        <v>485</v>
      </c>
      <c r="H105" s="669"/>
    </row>
    <row r="106" spans="1:8" s="284" customFormat="1" ht="12.75" customHeight="1" outlineLevel="1" x14ac:dyDescent="0.25">
      <c r="A106" s="666"/>
      <c r="B106" s="661"/>
      <c r="C106" s="662"/>
      <c r="D106" s="664"/>
      <c r="E106" s="666"/>
      <c r="F106" s="666"/>
      <c r="G106" s="666"/>
      <c r="H106" s="669"/>
    </row>
    <row r="107" spans="1:8" s="284" customFormat="1" ht="12.75" customHeight="1" outlineLevel="1" x14ac:dyDescent="0.25">
      <c r="A107" s="666"/>
      <c r="B107" s="661"/>
      <c r="C107" s="662"/>
      <c r="D107" s="664"/>
      <c r="E107" s="666"/>
      <c r="F107" s="666"/>
      <c r="G107" s="666"/>
      <c r="H107" s="669"/>
    </row>
    <row r="108" spans="1:8" s="284" customFormat="1" ht="12.75" customHeight="1" outlineLevel="1" x14ac:dyDescent="0.25">
      <c r="A108" s="666"/>
      <c r="B108" s="661"/>
      <c r="C108" s="663"/>
      <c r="D108" s="664"/>
      <c r="E108" s="666"/>
      <c r="F108" s="666"/>
      <c r="G108" s="666"/>
      <c r="H108" s="669"/>
    </row>
    <row r="109" spans="1:8" s="284" customFormat="1" ht="12.75" customHeight="1" outlineLevel="1" x14ac:dyDescent="0.25">
      <c r="A109" s="660">
        <v>5</v>
      </c>
      <c r="B109" s="661" t="s">
        <v>490</v>
      </c>
      <c r="C109" s="662">
        <v>43555</v>
      </c>
      <c r="D109" s="664">
        <v>666605.12</v>
      </c>
      <c r="E109" s="666" t="s">
        <v>279</v>
      </c>
      <c r="F109" s="665" t="s">
        <v>491</v>
      </c>
      <c r="G109" s="665" t="s">
        <v>485</v>
      </c>
      <c r="H109" s="660"/>
    </row>
    <row r="110" spans="1:8" s="284" customFormat="1" ht="12.75" customHeight="1" outlineLevel="1" x14ac:dyDescent="0.25">
      <c r="A110" s="660"/>
      <c r="B110" s="661"/>
      <c r="C110" s="662"/>
      <c r="D110" s="664"/>
      <c r="E110" s="666"/>
      <c r="F110" s="666"/>
      <c r="G110" s="666"/>
      <c r="H110" s="660"/>
    </row>
    <row r="111" spans="1:8" s="284" customFormat="1" ht="12.75" customHeight="1" outlineLevel="1" x14ac:dyDescent="0.25">
      <c r="A111" s="660"/>
      <c r="B111" s="661"/>
      <c r="C111" s="662"/>
      <c r="D111" s="664"/>
      <c r="E111" s="666"/>
      <c r="F111" s="666"/>
      <c r="G111" s="666"/>
      <c r="H111" s="660"/>
    </row>
    <row r="112" spans="1:8" s="284" customFormat="1" ht="12.75" customHeight="1" outlineLevel="1" x14ac:dyDescent="0.25">
      <c r="A112" s="660"/>
      <c r="B112" s="661"/>
      <c r="C112" s="663"/>
      <c r="D112" s="664"/>
      <c r="E112" s="666"/>
      <c r="F112" s="666"/>
      <c r="G112" s="666"/>
      <c r="H112" s="660"/>
    </row>
    <row r="113" spans="1:8" s="284" customFormat="1" ht="12.75" customHeight="1" outlineLevel="1" x14ac:dyDescent="0.25">
      <c r="A113" s="660">
        <v>6</v>
      </c>
      <c r="B113" s="661" t="s">
        <v>492</v>
      </c>
      <c r="C113" s="662">
        <v>43555</v>
      </c>
      <c r="D113" s="664">
        <v>313738</v>
      </c>
      <c r="E113" s="665" t="s">
        <v>279</v>
      </c>
      <c r="F113" s="665" t="s">
        <v>493</v>
      </c>
      <c r="G113" s="665" t="s">
        <v>488</v>
      </c>
      <c r="H113" s="671"/>
    </row>
    <row r="114" spans="1:8" s="284" customFormat="1" ht="12.75" customHeight="1" outlineLevel="1" x14ac:dyDescent="0.25">
      <c r="A114" s="660"/>
      <c r="B114" s="661"/>
      <c r="C114" s="662"/>
      <c r="D114" s="664"/>
      <c r="E114" s="666"/>
      <c r="F114" s="665"/>
      <c r="G114" s="666"/>
      <c r="H114" s="671"/>
    </row>
    <row r="115" spans="1:8" s="284" customFormat="1" ht="12.75" customHeight="1" outlineLevel="1" x14ac:dyDescent="0.25">
      <c r="A115" s="660"/>
      <c r="B115" s="661"/>
      <c r="C115" s="662"/>
      <c r="D115" s="664"/>
      <c r="E115" s="666"/>
      <c r="F115" s="665"/>
      <c r="G115" s="666"/>
      <c r="H115" s="671"/>
    </row>
    <row r="116" spans="1:8" s="284" customFormat="1" ht="12.75" customHeight="1" outlineLevel="1" x14ac:dyDescent="0.25">
      <c r="A116" s="660"/>
      <c r="B116" s="661"/>
      <c r="C116" s="663"/>
      <c r="D116" s="664"/>
      <c r="E116" s="666"/>
      <c r="F116" s="666"/>
      <c r="G116" s="666"/>
      <c r="H116" s="671"/>
    </row>
    <row r="117" spans="1:8" s="284" customFormat="1" ht="12.75" customHeight="1" outlineLevel="1" x14ac:dyDescent="0.25">
      <c r="A117" s="660">
        <v>7</v>
      </c>
      <c r="B117" s="661" t="s">
        <v>494</v>
      </c>
      <c r="C117" s="662">
        <v>43567</v>
      </c>
      <c r="D117" s="664">
        <v>156119.67999999999</v>
      </c>
      <c r="E117" s="666" t="s">
        <v>279</v>
      </c>
      <c r="F117" s="665" t="s">
        <v>495</v>
      </c>
      <c r="G117" s="665" t="s">
        <v>496</v>
      </c>
      <c r="H117" s="668" t="s">
        <v>445</v>
      </c>
    </row>
    <row r="118" spans="1:8" s="284" customFormat="1" ht="12.75" customHeight="1" outlineLevel="1" x14ac:dyDescent="0.25">
      <c r="A118" s="660"/>
      <c r="B118" s="661"/>
      <c r="C118" s="662"/>
      <c r="D118" s="664"/>
      <c r="E118" s="666"/>
      <c r="F118" s="665"/>
      <c r="G118" s="666"/>
      <c r="H118" s="668"/>
    </row>
    <row r="119" spans="1:8" s="284" customFormat="1" ht="12.75" customHeight="1" outlineLevel="1" x14ac:dyDescent="0.25">
      <c r="A119" s="660"/>
      <c r="B119" s="661"/>
      <c r="C119" s="662"/>
      <c r="D119" s="664"/>
      <c r="E119" s="666"/>
      <c r="F119" s="665"/>
      <c r="G119" s="666"/>
      <c r="H119" s="668"/>
    </row>
    <row r="120" spans="1:8" s="284" customFormat="1" ht="12.75" customHeight="1" outlineLevel="1" x14ac:dyDescent="0.25">
      <c r="A120" s="660"/>
      <c r="B120" s="661"/>
      <c r="C120" s="663"/>
      <c r="D120" s="664"/>
      <c r="E120" s="666"/>
      <c r="F120" s="666"/>
      <c r="G120" s="666"/>
      <c r="H120" s="668"/>
    </row>
    <row r="121" spans="1:8" s="284" customFormat="1" ht="12.75" customHeight="1" outlineLevel="1" x14ac:dyDescent="0.25">
      <c r="A121" s="660">
        <v>8</v>
      </c>
      <c r="B121" s="661" t="s">
        <v>497</v>
      </c>
      <c r="C121" s="662">
        <v>43585</v>
      </c>
      <c r="D121" s="664">
        <v>56514.03</v>
      </c>
      <c r="E121" s="665" t="s">
        <v>279</v>
      </c>
      <c r="F121" s="665" t="s">
        <v>498</v>
      </c>
      <c r="G121" s="665" t="s">
        <v>499</v>
      </c>
      <c r="H121" s="667"/>
    </row>
    <row r="122" spans="1:8" s="284" customFormat="1" ht="12.75" customHeight="1" outlineLevel="1" x14ac:dyDescent="0.25">
      <c r="A122" s="660"/>
      <c r="B122" s="661"/>
      <c r="C122" s="662"/>
      <c r="D122" s="664"/>
      <c r="E122" s="666"/>
      <c r="F122" s="665"/>
      <c r="G122" s="665"/>
      <c r="H122" s="667"/>
    </row>
    <row r="123" spans="1:8" s="284" customFormat="1" ht="12.75" customHeight="1" outlineLevel="1" x14ac:dyDescent="0.25">
      <c r="A123" s="660"/>
      <c r="B123" s="661"/>
      <c r="C123" s="662"/>
      <c r="D123" s="664"/>
      <c r="E123" s="666"/>
      <c r="F123" s="665"/>
      <c r="G123" s="665"/>
      <c r="H123" s="667"/>
    </row>
    <row r="124" spans="1:8" s="284" customFormat="1" ht="12.75" customHeight="1" outlineLevel="1" x14ac:dyDescent="0.25">
      <c r="A124" s="660"/>
      <c r="B124" s="661"/>
      <c r="C124" s="663"/>
      <c r="D124" s="664"/>
      <c r="E124" s="666"/>
      <c r="F124" s="666"/>
      <c r="G124" s="665"/>
      <c r="H124" s="667"/>
    </row>
    <row r="125" spans="1:8" s="284" customFormat="1" ht="12.75" customHeight="1" outlineLevel="1" x14ac:dyDescent="0.25">
      <c r="A125" s="660">
        <v>9</v>
      </c>
      <c r="B125" s="661" t="s">
        <v>500</v>
      </c>
      <c r="C125" s="662">
        <v>43585</v>
      </c>
      <c r="D125" s="664">
        <v>6290.82</v>
      </c>
      <c r="E125" s="665" t="s">
        <v>279</v>
      </c>
      <c r="F125" s="665" t="s">
        <v>501</v>
      </c>
      <c r="G125" s="665" t="s">
        <v>499</v>
      </c>
      <c r="H125" s="667"/>
    </row>
    <row r="126" spans="1:8" s="284" customFormat="1" ht="12.75" customHeight="1" outlineLevel="1" x14ac:dyDescent="0.25">
      <c r="A126" s="660"/>
      <c r="B126" s="661"/>
      <c r="C126" s="662"/>
      <c r="D126" s="664"/>
      <c r="E126" s="666"/>
      <c r="F126" s="665"/>
      <c r="G126" s="665"/>
      <c r="H126" s="667"/>
    </row>
    <row r="127" spans="1:8" s="284" customFormat="1" ht="12.75" customHeight="1" outlineLevel="1" x14ac:dyDescent="0.25">
      <c r="A127" s="660"/>
      <c r="B127" s="661"/>
      <c r="C127" s="662"/>
      <c r="D127" s="664"/>
      <c r="E127" s="666"/>
      <c r="F127" s="665"/>
      <c r="G127" s="665"/>
      <c r="H127" s="667"/>
    </row>
    <row r="128" spans="1:8" s="284" customFormat="1" ht="12.75" customHeight="1" outlineLevel="1" x14ac:dyDescent="0.25">
      <c r="A128" s="660"/>
      <c r="B128" s="661"/>
      <c r="C128" s="663"/>
      <c r="D128" s="664"/>
      <c r="E128" s="666"/>
      <c r="F128" s="665"/>
      <c r="G128" s="665"/>
      <c r="H128" s="667"/>
    </row>
    <row r="129" spans="1:8" s="284" customFormat="1" ht="12.75" customHeight="1" outlineLevel="1" x14ac:dyDescent="0.25">
      <c r="A129" s="660">
        <v>10</v>
      </c>
      <c r="B129" s="661" t="s">
        <v>502</v>
      </c>
      <c r="C129" s="662">
        <v>43585</v>
      </c>
      <c r="D129" s="664">
        <v>1000</v>
      </c>
      <c r="E129" s="666" t="s">
        <v>279</v>
      </c>
      <c r="F129" s="665" t="s">
        <v>501</v>
      </c>
      <c r="G129" s="665" t="s">
        <v>499</v>
      </c>
      <c r="H129" s="667"/>
    </row>
    <row r="130" spans="1:8" s="284" customFormat="1" ht="12.75" customHeight="1" outlineLevel="1" x14ac:dyDescent="0.25">
      <c r="A130" s="660"/>
      <c r="B130" s="661"/>
      <c r="C130" s="662"/>
      <c r="D130" s="664"/>
      <c r="E130" s="666"/>
      <c r="F130" s="665"/>
      <c r="G130" s="665"/>
      <c r="H130" s="667"/>
    </row>
    <row r="131" spans="1:8" s="284" customFormat="1" ht="12.75" customHeight="1" outlineLevel="1" x14ac:dyDescent="0.25">
      <c r="A131" s="660"/>
      <c r="B131" s="661"/>
      <c r="C131" s="662"/>
      <c r="D131" s="664"/>
      <c r="E131" s="666"/>
      <c r="F131" s="665"/>
      <c r="G131" s="665"/>
      <c r="H131" s="667"/>
    </row>
    <row r="132" spans="1:8" s="284" customFormat="1" ht="12.75" customHeight="1" outlineLevel="1" x14ac:dyDescent="0.25">
      <c r="A132" s="660"/>
      <c r="B132" s="661"/>
      <c r="C132" s="663"/>
      <c r="D132" s="664"/>
      <c r="E132" s="666"/>
      <c r="F132" s="665"/>
      <c r="G132" s="665"/>
      <c r="H132" s="667"/>
    </row>
    <row r="133" spans="1:8" s="284" customFormat="1" ht="12.75" customHeight="1" outlineLevel="1" x14ac:dyDescent="0.25">
      <c r="A133" s="660">
        <v>11</v>
      </c>
      <c r="B133" s="661" t="s">
        <v>503</v>
      </c>
      <c r="C133" s="662">
        <v>43585</v>
      </c>
      <c r="D133" s="664">
        <v>436900</v>
      </c>
      <c r="E133" s="666" t="s">
        <v>279</v>
      </c>
      <c r="F133" s="665" t="s">
        <v>504</v>
      </c>
      <c r="G133" s="665" t="s">
        <v>505</v>
      </c>
      <c r="H133" s="667"/>
    </row>
    <row r="134" spans="1:8" s="284" customFormat="1" ht="12.75" customHeight="1" outlineLevel="1" x14ac:dyDescent="0.25">
      <c r="A134" s="660"/>
      <c r="B134" s="661"/>
      <c r="C134" s="662"/>
      <c r="D134" s="664"/>
      <c r="E134" s="666"/>
      <c r="F134" s="665"/>
      <c r="G134" s="665"/>
      <c r="H134" s="667"/>
    </row>
    <row r="135" spans="1:8" s="284" customFormat="1" ht="12.75" customHeight="1" outlineLevel="1" x14ac:dyDescent="0.25">
      <c r="A135" s="660"/>
      <c r="B135" s="661"/>
      <c r="C135" s="662"/>
      <c r="D135" s="664"/>
      <c r="E135" s="666"/>
      <c r="F135" s="665"/>
      <c r="G135" s="665"/>
      <c r="H135" s="667"/>
    </row>
    <row r="136" spans="1:8" s="284" customFormat="1" ht="12.75" customHeight="1" outlineLevel="1" x14ac:dyDescent="0.25">
      <c r="A136" s="660"/>
      <c r="B136" s="661"/>
      <c r="C136" s="663"/>
      <c r="D136" s="664"/>
      <c r="E136" s="666"/>
      <c r="F136" s="665"/>
      <c r="G136" s="665"/>
      <c r="H136" s="667"/>
    </row>
    <row r="137" spans="1:8" s="284" customFormat="1" ht="12.75" customHeight="1" outlineLevel="1" x14ac:dyDescent="0.25">
      <c r="A137" s="660">
        <v>12</v>
      </c>
      <c r="B137" s="661" t="s">
        <v>506</v>
      </c>
      <c r="C137" s="662">
        <v>43600</v>
      </c>
      <c r="D137" s="664">
        <v>41751.269999999997</v>
      </c>
      <c r="E137" s="666" t="s">
        <v>279</v>
      </c>
      <c r="F137" s="665" t="s">
        <v>498</v>
      </c>
      <c r="G137" s="672" t="s">
        <v>507</v>
      </c>
      <c r="H137" s="667"/>
    </row>
    <row r="138" spans="1:8" s="284" customFormat="1" ht="12.75" customHeight="1" outlineLevel="1" x14ac:dyDescent="0.25">
      <c r="A138" s="660"/>
      <c r="B138" s="661"/>
      <c r="C138" s="662"/>
      <c r="D138" s="664"/>
      <c r="E138" s="666"/>
      <c r="F138" s="665"/>
      <c r="G138" s="673"/>
      <c r="H138" s="667"/>
    </row>
    <row r="139" spans="1:8" s="284" customFormat="1" ht="12.75" customHeight="1" outlineLevel="1" x14ac:dyDescent="0.25">
      <c r="A139" s="660"/>
      <c r="B139" s="661"/>
      <c r="C139" s="662"/>
      <c r="D139" s="664"/>
      <c r="E139" s="666"/>
      <c r="F139" s="665"/>
      <c r="G139" s="673"/>
      <c r="H139" s="667"/>
    </row>
    <row r="140" spans="1:8" s="284" customFormat="1" ht="12.75" customHeight="1" outlineLevel="1" x14ac:dyDescent="0.25">
      <c r="A140" s="660"/>
      <c r="B140" s="661"/>
      <c r="C140" s="663"/>
      <c r="D140" s="664"/>
      <c r="E140" s="666"/>
      <c r="F140" s="666"/>
      <c r="G140" s="674"/>
      <c r="H140" s="667"/>
    </row>
    <row r="141" spans="1:8" s="284" customFormat="1" ht="12.75" customHeight="1" outlineLevel="1" x14ac:dyDescent="0.25">
      <c r="A141" s="660">
        <v>13</v>
      </c>
      <c r="B141" s="661" t="s">
        <v>508</v>
      </c>
      <c r="C141" s="662">
        <v>43595</v>
      </c>
      <c r="D141" s="664">
        <v>136636.22</v>
      </c>
      <c r="E141" s="666" t="s">
        <v>279</v>
      </c>
      <c r="F141" s="665" t="s">
        <v>509</v>
      </c>
      <c r="G141" s="665" t="s">
        <v>510</v>
      </c>
      <c r="H141" s="671"/>
    </row>
    <row r="142" spans="1:8" s="284" customFormat="1" ht="12.75" customHeight="1" outlineLevel="1" x14ac:dyDescent="0.25">
      <c r="A142" s="660"/>
      <c r="B142" s="661"/>
      <c r="C142" s="662"/>
      <c r="D142" s="664"/>
      <c r="E142" s="666"/>
      <c r="F142" s="665"/>
      <c r="G142" s="665"/>
      <c r="H142" s="671"/>
    </row>
    <row r="143" spans="1:8" s="284" customFormat="1" ht="12.75" customHeight="1" outlineLevel="1" x14ac:dyDescent="0.25">
      <c r="A143" s="660"/>
      <c r="B143" s="661"/>
      <c r="C143" s="662"/>
      <c r="D143" s="664"/>
      <c r="E143" s="666"/>
      <c r="F143" s="665"/>
      <c r="G143" s="665"/>
      <c r="H143" s="671"/>
    </row>
    <row r="144" spans="1:8" s="284" customFormat="1" ht="12.75" customHeight="1" outlineLevel="1" x14ac:dyDescent="0.25">
      <c r="A144" s="660"/>
      <c r="B144" s="661"/>
      <c r="C144" s="663"/>
      <c r="D144" s="664"/>
      <c r="E144" s="666"/>
      <c r="F144" s="666"/>
      <c r="G144" s="666"/>
      <c r="H144" s="671"/>
    </row>
    <row r="145" spans="1:8" s="284" customFormat="1" ht="12.75" customHeight="1" outlineLevel="1" x14ac:dyDescent="0.25">
      <c r="A145" s="660">
        <v>14</v>
      </c>
      <c r="B145" s="661" t="s">
        <v>511</v>
      </c>
      <c r="C145" s="662">
        <v>43616</v>
      </c>
      <c r="D145" s="664">
        <v>299687.43</v>
      </c>
      <c r="E145" s="666" t="s">
        <v>279</v>
      </c>
      <c r="F145" s="665" t="s">
        <v>512</v>
      </c>
      <c r="G145" s="665" t="s">
        <v>513</v>
      </c>
      <c r="H145" s="667"/>
    </row>
    <row r="146" spans="1:8" s="284" customFormat="1" ht="12.75" customHeight="1" outlineLevel="1" x14ac:dyDescent="0.25">
      <c r="A146" s="660"/>
      <c r="B146" s="661"/>
      <c r="C146" s="662"/>
      <c r="D146" s="664"/>
      <c r="E146" s="666"/>
      <c r="F146" s="665"/>
      <c r="G146" s="665"/>
      <c r="H146" s="667"/>
    </row>
    <row r="147" spans="1:8" s="284" customFormat="1" ht="12.75" customHeight="1" outlineLevel="1" x14ac:dyDescent="0.25">
      <c r="A147" s="660"/>
      <c r="B147" s="661"/>
      <c r="C147" s="662"/>
      <c r="D147" s="664"/>
      <c r="E147" s="666"/>
      <c r="F147" s="665"/>
      <c r="G147" s="665"/>
      <c r="H147" s="667"/>
    </row>
    <row r="148" spans="1:8" ht="12.75" customHeight="1" outlineLevel="1" x14ac:dyDescent="0.2">
      <c r="A148" s="660"/>
      <c r="B148" s="661"/>
      <c r="C148" s="663"/>
      <c r="D148" s="664"/>
      <c r="E148" s="666"/>
      <c r="F148" s="665"/>
      <c r="G148" s="665"/>
      <c r="H148" s="667"/>
    </row>
    <row r="149" spans="1:8" ht="12.75" customHeight="1" outlineLevel="1" x14ac:dyDescent="0.2">
      <c r="A149" s="660">
        <v>15</v>
      </c>
      <c r="B149" s="661" t="s">
        <v>514</v>
      </c>
      <c r="C149" s="662">
        <v>43616</v>
      </c>
      <c r="D149" s="664">
        <v>2238.34</v>
      </c>
      <c r="E149" s="666" t="s">
        <v>279</v>
      </c>
      <c r="F149" s="665" t="s">
        <v>515</v>
      </c>
      <c r="G149" s="665" t="s">
        <v>513</v>
      </c>
      <c r="H149" s="667"/>
    </row>
    <row r="150" spans="1:8" ht="12.75" customHeight="1" outlineLevel="1" x14ac:dyDescent="0.2">
      <c r="A150" s="660"/>
      <c r="B150" s="661"/>
      <c r="C150" s="662"/>
      <c r="D150" s="664"/>
      <c r="E150" s="666"/>
      <c r="F150" s="665"/>
      <c r="G150" s="665"/>
      <c r="H150" s="667"/>
    </row>
    <row r="151" spans="1:8" ht="12.75" customHeight="1" outlineLevel="1" x14ac:dyDescent="0.2">
      <c r="A151" s="660"/>
      <c r="B151" s="661"/>
      <c r="C151" s="662"/>
      <c r="D151" s="664"/>
      <c r="E151" s="666"/>
      <c r="F151" s="665"/>
      <c r="G151" s="665"/>
      <c r="H151" s="667"/>
    </row>
    <row r="152" spans="1:8" ht="12.75" customHeight="1" outlineLevel="1" x14ac:dyDescent="0.2">
      <c r="A152" s="660"/>
      <c r="B152" s="661"/>
      <c r="C152" s="663"/>
      <c r="D152" s="664"/>
      <c r="E152" s="666"/>
      <c r="F152" s="665"/>
      <c r="G152" s="665"/>
      <c r="H152" s="667"/>
    </row>
    <row r="153" spans="1:8" ht="12.75" customHeight="1" outlineLevel="1" x14ac:dyDescent="0.2">
      <c r="A153" s="660">
        <v>16</v>
      </c>
      <c r="B153" s="661" t="s">
        <v>516</v>
      </c>
      <c r="C153" s="662">
        <v>43616</v>
      </c>
      <c r="D153" s="664">
        <v>70367.34</v>
      </c>
      <c r="E153" s="666" t="s">
        <v>279</v>
      </c>
      <c r="F153" s="665" t="s">
        <v>517</v>
      </c>
      <c r="G153" s="665" t="s">
        <v>513</v>
      </c>
      <c r="H153" s="667"/>
    </row>
    <row r="154" spans="1:8" ht="12.75" customHeight="1" outlineLevel="1" x14ac:dyDescent="0.2">
      <c r="A154" s="660"/>
      <c r="B154" s="661"/>
      <c r="C154" s="662"/>
      <c r="D154" s="664"/>
      <c r="E154" s="666"/>
      <c r="F154" s="665"/>
      <c r="G154" s="665"/>
      <c r="H154" s="667"/>
    </row>
    <row r="155" spans="1:8" ht="12.75" customHeight="1" outlineLevel="1" x14ac:dyDescent="0.2">
      <c r="A155" s="660"/>
      <c r="B155" s="661"/>
      <c r="C155" s="662"/>
      <c r="D155" s="664"/>
      <c r="E155" s="666"/>
      <c r="F155" s="665"/>
      <c r="G155" s="665"/>
      <c r="H155" s="667"/>
    </row>
    <row r="156" spans="1:8" ht="12.75" customHeight="1" outlineLevel="1" x14ac:dyDescent="0.2">
      <c r="A156" s="675"/>
      <c r="B156" s="676"/>
      <c r="C156" s="677"/>
      <c r="D156" s="678"/>
      <c r="E156" s="679"/>
      <c r="F156" s="665"/>
      <c r="G156" s="665"/>
      <c r="H156" s="680"/>
    </row>
    <row r="157" spans="1:8" ht="12.75" customHeight="1" outlineLevel="1" x14ac:dyDescent="0.2">
      <c r="A157" s="660">
        <v>17</v>
      </c>
      <c r="B157" s="661" t="s">
        <v>518</v>
      </c>
      <c r="C157" s="662">
        <v>43619</v>
      </c>
      <c r="D157" s="664">
        <v>131210.91</v>
      </c>
      <c r="E157" s="666" t="s">
        <v>279</v>
      </c>
      <c r="F157" s="665" t="s">
        <v>519</v>
      </c>
      <c r="G157" s="665" t="s">
        <v>520</v>
      </c>
      <c r="H157" s="667"/>
    </row>
    <row r="158" spans="1:8" ht="12.75" customHeight="1" outlineLevel="1" x14ac:dyDescent="0.2">
      <c r="A158" s="660"/>
      <c r="B158" s="661"/>
      <c r="C158" s="662"/>
      <c r="D158" s="664"/>
      <c r="E158" s="666"/>
      <c r="F158" s="665"/>
      <c r="G158" s="665"/>
      <c r="H158" s="667"/>
    </row>
    <row r="159" spans="1:8" ht="12.75" customHeight="1" outlineLevel="1" x14ac:dyDescent="0.2">
      <c r="A159" s="660"/>
      <c r="B159" s="661"/>
      <c r="C159" s="662"/>
      <c r="D159" s="664"/>
      <c r="E159" s="666"/>
      <c r="F159" s="665"/>
      <c r="G159" s="665"/>
      <c r="H159" s="667"/>
    </row>
    <row r="160" spans="1:8" ht="12.75" customHeight="1" outlineLevel="1" x14ac:dyDescent="0.2">
      <c r="A160" s="660"/>
      <c r="B160" s="661"/>
      <c r="C160" s="663"/>
      <c r="D160" s="664"/>
      <c r="E160" s="666"/>
      <c r="F160" s="665"/>
      <c r="G160" s="665"/>
      <c r="H160" s="667"/>
    </row>
    <row r="161" spans="1:8" ht="12.75" customHeight="1" outlineLevel="1" x14ac:dyDescent="0.2">
      <c r="A161" s="681">
        <v>18</v>
      </c>
      <c r="B161" s="682" t="s">
        <v>521</v>
      </c>
      <c r="C161" s="683">
        <v>43646</v>
      </c>
      <c r="D161" s="684">
        <v>264635.84999999998</v>
      </c>
      <c r="E161" s="685" t="s">
        <v>279</v>
      </c>
      <c r="F161" s="674" t="s">
        <v>522</v>
      </c>
      <c r="G161" s="674" t="s">
        <v>523</v>
      </c>
      <c r="H161" s="686" t="s">
        <v>447</v>
      </c>
    </row>
    <row r="162" spans="1:8" ht="12.75" customHeight="1" outlineLevel="1" x14ac:dyDescent="0.2">
      <c r="A162" s="660"/>
      <c r="B162" s="661"/>
      <c r="C162" s="662"/>
      <c r="D162" s="664"/>
      <c r="E162" s="666"/>
      <c r="F162" s="665"/>
      <c r="G162" s="665"/>
      <c r="H162" s="667"/>
    </row>
    <row r="163" spans="1:8" ht="12.75" customHeight="1" outlineLevel="1" x14ac:dyDescent="0.2">
      <c r="A163" s="660"/>
      <c r="B163" s="661"/>
      <c r="C163" s="662"/>
      <c r="D163" s="664"/>
      <c r="E163" s="666"/>
      <c r="F163" s="665"/>
      <c r="G163" s="665"/>
      <c r="H163" s="667"/>
    </row>
    <row r="164" spans="1:8" ht="12.75" customHeight="1" outlineLevel="1" x14ac:dyDescent="0.2">
      <c r="A164" s="660"/>
      <c r="B164" s="661"/>
      <c r="C164" s="663"/>
      <c r="D164" s="664"/>
      <c r="E164" s="666"/>
      <c r="F164" s="665"/>
      <c r="G164" s="665"/>
      <c r="H164" s="667"/>
    </row>
    <row r="165" spans="1:8" ht="12.75" customHeight="1" outlineLevel="1" x14ac:dyDescent="0.2">
      <c r="A165" s="660">
        <v>19</v>
      </c>
      <c r="B165" s="661" t="s">
        <v>524</v>
      </c>
      <c r="C165" s="662">
        <v>43646</v>
      </c>
      <c r="D165" s="664">
        <v>434.82</v>
      </c>
      <c r="E165" s="666" t="s">
        <v>279</v>
      </c>
      <c r="F165" s="665" t="s">
        <v>525</v>
      </c>
      <c r="G165" s="665" t="s">
        <v>526</v>
      </c>
      <c r="H165" s="667"/>
    </row>
    <row r="166" spans="1:8" ht="12.75" customHeight="1" outlineLevel="1" x14ac:dyDescent="0.2">
      <c r="A166" s="660"/>
      <c r="B166" s="661"/>
      <c r="C166" s="662"/>
      <c r="D166" s="664"/>
      <c r="E166" s="666"/>
      <c r="F166" s="665"/>
      <c r="G166" s="665"/>
      <c r="H166" s="667"/>
    </row>
    <row r="167" spans="1:8" ht="12.75" customHeight="1" outlineLevel="1" x14ac:dyDescent="0.2">
      <c r="A167" s="660"/>
      <c r="B167" s="661"/>
      <c r="C167" s="662"/>
      <c r="D167" s="664"/>
      <c r="E167" s="666"/>
      <c r="F167" s="665"/>
      <c r="G167" s="665"/>
      <c r="H167" s="667"/>
    </row>
    <row r="168" spans="1:8" ht="12.75" customHeight="1" outlineLevel="1" x14ac:dyDescent="0.2">
      <c r="A168" s="660"/>
      <c r="B168" s="661"/>
      <c r="C168" s="663"/>
      <c r="D168" s="664"/>
      <c r="E168" s="666"/>
      <c r="F168" s="665"/>
      <c r="G168" s="665"/>
      <c r="H168" s="667"/>
    </row>
    <row r="169" spans="1:8" ht="12.75" customHeight="1" outlineLevel="1" x14ac:dyDescent="0.2">
      <c r="A169" s="660">
        <v>20</v>
      </c>
      <c r="B169" s="661" t="s">
        <v>527</v>
      </c>
      <c r="C169" s="662">
        <v>43646</v>
      </c>
      <c r="D169" s="664">
        <v>633010.69999999995</v>
      </c>
      <c r="E169" s="666" t="s">
        <v>279</v>
      </c>
      <c r="F169" s="674" t="s">
        <v>522</v>
      </c>
      <c r="G169" s="674" t="s">
        <v>523</v>
      </c>
      <c r="H169" s="686" t="s">
        <v>447</v>
      </c>
    </row>
    <row r="170" spans="1:8" ht="12.75" customHeight="1" outlineLevel="1" x14ac:dyDescent="0.2">
      <c r="A170" s="660"/>
      <c r="B170" s="661"/>
      <c r="C170" s="662"/>
      <c r="D170" s="664"/>
      <c r="E170" s="666"/>
      <c r="F170" s="665"/>
      <c r="G170" s="665"/>
      <c r="H170" s="667"/>
    </row>
    <row r="171" spans="1:8" ht="12.75" customHeight="1" outlineLevel="1" x14ac:dyDescent="0.2">
      <c r="A171" s="660"/>
      <c r="B171" s="661"/>
      <c r="C171" s="662"/>
      <c r="D171" s="664"/>
      <c r="E171" s="666"/>
      <c r="F171" s="665"/>
      <c r="G171" s="665"/>
      <c r="H171" s="667"/>
    </row>
    <row r="172" spans="1:8" ht="12.75" customHeight="1" outlineLevel="1" x14ac:dyDescent="0.2">
      <c r="A172" s="660"/>
      <c r="B172" s="661"/>
      <c r="C172" s="663"/>
      <c r="D172" s="664"/>
      <c r="E172" s="666"/>
      <c r="F172" s="665"/>
      <c r="G172" s="665"/>
      <c r="H172" s="667"/>
    </row>
    <row r="173" spans="1:8" ht="12.75" customHeight="1" outlineLevel="1" x14ac:dyDescent="0.2">
      <c r="A173" s="660">
        <v>21</v>
      </c>
      <c r="B173" s="661" t="s">
        <v>528</v>
      </c>
      <c r="C173" s="662">
        <v>43646</v>
      </c>
      <c r="D173" s="664">
        <v>200000</v>
      </c>
      <c r="E173" s="666" t="s">
        <v>279</v>
      </c>
      <c r="F173" s="665" t="s">
        <v>529</v>
      </c>
      <c r="G173" s="665" t="s">
        <v>530</v>
      </c>
      <c r="H173" s="667"/>
    </row>
    <row r="174" spans="1:8" ht="12.75" customHeight="1" outlineLevel="1" x14ac:dyDescent="0.2">
      <c r="A174" s="660"/>
      <c r="B174" s="661"/>
      <c r="C174" s="662"/>
      <c r="D174" s="664"/>
      <c r="E174" s="666"/>
      <c r="F174" s="665"/>
      <c r="G174" s="665"/>
      <c r="H174" s="667"/>
    </row>
    <row r="175" spans="1:8" ht="12.75" customHeight="1" outlineLevel="1" x14ac:dyDescent="0.2">
      <c r="A175" s="660"/>
      <c r="B175" s="661"/>
      <c r="C175" s="662"/>
      <c r="D175" s="664"/>
      <c r="E175" s="666"/>
      <c r="F175" s="665"/>
      <c r="G175" s="665"/>
      <c r="H175" s="667"/>
    </row>
    <row r="176" spans="1:8" ht="12.75" customHeight="1" outlineLevel="1" x14ac:dyDescent="0.2">
      <c r="A176" s="660"/>
      <c r="B176" s="661"/>
      <c r="C176" s="663"/>
      <c r="D176" s="664"/>
      <c r="E176" s="666"/>
      <c r="F176" s="665"/>
      <c r="G176" s="665"/>
      <c r="H176" s="667"/>
    </row>
    <row r="177" spans="1:8" ht="12.75" customHeight="1" x14ac:dyDescent="0.2">
      <c r="A177" s="545" t="s">
        <v>436</v>
      </c>
      <c r="B177" s="546"/>
      <c r="C177" s="547"/>
      <c r="D177" s="547"/>
      <c r="E177" s="547"/>
      <c r="F177" s="547"/>
      <c r="G177" s="547"/>
      <c r="H177" s="548"/>
    </row>
    <row r="178" spans="1:8" s="285" customFormat="1" ht="12.75" customHeight="1" outlineLevel="1" x14ac:dyDescent="0.25">
      <c r="A178" s="552">
        <v>22</v>
      </c>
      <c r="B178" s="552"/>
      <c r="C178" s="688"/>
      <c r="D178" s="689"/>
      <c r="E178" s="552"/>
      <c r="F178" s="656"/>
      <c r="G178" s="656"/>
      <c r="H178" s="554"/>
    </row>
    <row r="179" spans="1:8" s="285" customFormat="1" ht="12.75" customHeight="1" outlineLevel="1" x14ac:dyDescent="0.25">
      <c r="A179" s="552"/>
      <c r="B179" s="552"/>
      <c r="C179" s="688"/>
      <c r="D179" s="689"/>
      <c r="E179" s="552"/>
      <c r="F179" s="657"/>
      <c r="G179" s="657"/>
      <c r="H179" s="552"/>
    </row>
    <row r="180" spans="1:8" s="285" customFormat="1" ht="12.75" customHeight="1" outlineLevel="1" x14ac:dyDescent="0.25">
      <c r="A180" s="552"/>
      <c r="B180" s="552"/>
      <c r="C180" s="688"/>
      <c r="D180" s="689"/>
      <c r="E180" s="552"/>
      <c r="F180" s="657"/>
      <c r="G180" s="657"/>
      <c r="H180" s="552"/>
    </row>
    <row r="181" spans="1:8" s="285" customFormat="1" ht="12.75" customHeight="1" outlineLevel="1" x14ac:dyDescent="0.25">
      <c r="A181" s="552"/>
      <c r="B181" s="552"/>
      <c r="C181" s="688"/>
      <c r="D181" s="689"/>
      <c r="E181" s="552"/>
      <c r="F181" s="657"/>
      <c r="G181" s="657"/>
      <c r="H181" s="552"/>
    </row>
    <row r="182" spans="1:8" s="285" customFormat="1" ht="12.75" customHeight="1" outlineLevel="1" x14ac:dyDescent="0.25">
      <c r="A182" s="552"/>
      <c r="B182" s="552"/>
      <c r="C182" s="688"/>
      <c r="D182" s="689"/>
      <c r="E182" s="552"/>
      <c r="F182" s="657"/>
      <c r="G182" s="687"/>
      <c r="H182" s="552"/>
    </row>
    <row r="183" spans="1:8" s="285" customFormat="1" ht="12.75" customHeight="1" outlineLevel="1" x14ac:dyDescent="0.25">
      <c r="A183" s="552">
        <v>23</v>
      </c>
      <c r="B183" s="550"/>
      <c r="C183" s="688"/>
      <c r="D183" s="689"/>
      <c r="E183" s="552"/>
      <c r="F183" s="656"/>
      <c r="G183" s="656"/>
      <c r="H183" s="554"/>
    </row>
    <row r="184" spans="1:8" s="285" customFormat="1" ht="12.75" customHeight="1" outlineLevel="1" x14ac:dyDescent="0.25">
      <c r="A184" s="552"/>
      <c r="B184" s="550"/>
      <c r="C184" s="688"/>
      <c r="D184" s="689"/>
      <c r="E184" s="552"/>
      <c r="F184" s="657"/>
      <c r="G184" s="657"/>
      <c r="H184" s="552"/>
    </row>
    <row r="185" spans="1:8" s="285" customFormat="1" ht="12.75" customHeight="1" outlineLevel="1" x14ac:dyDescent="0.25">
      <c r="A185" s="552"/>
      <c r="B185" s="550"/>
      <c r="C185" s="688"/>
      <c r="D185" s="689"/>
      <c r="E185" s="552"/>
      <c r="F185" s="657"/>
      <c r="G185" s="657"/>
      <c r="H185" s="552"/>
    </row>
    <row r="186" spans="1:8" s="285" customFormat="1" ht="12.75" customHeight="1" outlineLevel="1" x14ac:dyDescent="0.25">
      <c r="A186" s="552"/>
      <c r="B186" s="550"/>
      <c r="C186" s="688"/>
      <c r="D186" s="689"/>
      <c r="E186" s="552"/>
      <c r="F186" s="657"/>
      <c r="G186" s="657"/>
      <c r="H186" s="552"/>
    </row>
    <row r="187" spans="1:8" s="285" customFormat="1" ht="12.75" customHeight="1" outlineLevel="1" x14ac:dyDescent="0.25">
      <c r="A187" s="552"/>
      <c r="B187" s="550"/>
      <c r="C187" s="688"/>
      <c r="D187" s="689"/>
      <c r="E187" s="552"/>
      <c r="F187" s="657"/>
      <c r="G187" s="687"/>
      <c r="H187" s="552"/>
    </row>
    <row r="188" spans="1:8" s="285" customFormat="1" ht="12.75" customHeight="1" outlineLevel="1" x14ac:dyDescent="0.25">
      <c r="A188" s="552">
        <v>24</v>
      </c>
      <c r="B188" s="550"/>
      <c r="C188" s="688"/>
      <c r="D188" s="689"/>
      <c r="E188" s="552"/>
      <c r="F188" s="656"/>
      <c r="G188" s="550"/>
      <c r="H188" s="554"/>
    </row>
    <row r="189" spans="1:8" s="285" customFormat="1" ht="12.75" customHeight="1" outlineLevel="1" x14ac:dyDescent="0.25">
      <c r="A189" s="552"/>
      <c r="B189" s="550"/>
      <c r="C189" s="688"/>
      <c r="D189" s="689"/>
      <c r="E189" s="552"/>
      <c r="F189" s="657"/>
      <c r="G189" s="552"/>
      <c r="H189" s="554"/>
    </row>
    <row r="190" spans="1:8" s="285" customFormat="1" ht="12.75" customHeight="1" outlineLevel="1" x14ac:dyDescent="0.25">
      <c r="A190" s="552"/>
      <c r="B190" s="550"/>
      <c r="C190" s="688"/>
      <c r="D190" s="689"/>
      <c r="E190" s="552"/>
      <c r="F190" s="657"/>
      <c r="G190" s="552"/>
      <c r="H190" s="554"/>
    </row>
    <row r="191" spans="1:8" s="285" customFormat="1" ht="12.75" customHeight="1" outlineLevel="1" x14ac:dyDescent="0.25">
      <c r="A191" s="552"/>
      <c r="B191" s="550"/>
      <c r="C191" s="688"/>
      <c r="D191" s="689"/>
      <c r="E191" s="552"/>
      <c r="F191" s="657"/>
      <c r="G191" s="552"/>
      <c r="H191" s="554"/>
    </row>
    <row r="192" spans="1:8" s="285" customFormat="1" ht="12.75" customHeight="1" outlineLevel="1" x14ac:dyDescent="0.25">
      <c r="A192" s="552"/>
      <c r="B192" s="550"/>
      <c r="C192" s="688"/>
      <c r="D192" s="689"/>
      <c r="E192" s="552"/>
      <c r="F192" s="687"/>
      <c r="G192" s="552"/>
      <c r="H192" s="554"/>
    </row>
    <row r="193" spans="1:8" s="285" customFormat="1" ht="12.75" customHeight="1" outlineLevel="1" x14ac:dyDescent="0.25">
      <c r="A193" s="552">
        <v>25</v>
      </c>
      <c r="B193" s="550"/>
      <c r="C193" s="688"/>
      <c r="D193" s="689"/>
      <c r="E193" s="552"/>
      <c r="F193" s="550"/>
      <c r="G193" s="656"/>
      <c r="H193" s="554"/>
    </row>
    <row r="194" spans="1:8" s="285" customFormat="1" ht="12.75" customHeight="1" outlineLevel="1" x14ac:dyDescent="0.25">
      <c r="A194" s="552"/>
      <c r="B194" s="550"/>
      <c r="C194" s="688"/>
      <c r="D194" s="689"/>
      <c r="E194" s="552"/>
      <c r="F194" s="552"/>
      <c r="G194" s="657"/>
      <c r="H194" s="552"/>
    </row>
    <row r="195" spans="1:8" s="285" customFormat="1" ht="12.75" customHeight="1" outlineLevel="1" x14ac:dyDescent="0.25">
      <c r="A195" s="552"/>
      <c r="B195" s="550"/>
      <c r="C195" s="688"/>
      <c r="D195" s="689"/>
      <c r="E195" s="552"/>
      <c r="F195" s="552"/>
      <c r="G195" s="657"/>
      <c r="H195" s="552"/>
    </row>
    <row r="196" spans="1:8" s="285" customFormat="1" ht="12.75" customHeight="1" outlineLevel="1" x14ac:dyDescent="0.25">
      <c r="A196" s="552"/>
      <c r="B196" s="550"/>
      <c r="C196" s="688"/>
      <c r="D196" s="689"/>
      <c r="E196" s="552"/>
      <c r="F196" s="552"/>
      <c r="G196" s="657"/>
      <c r="H196" s="552"/>
    </row>
    <row r="197" spans="1:8" s="285" customFormat="1" ht="12.75" customHeight="1" outlineLevel="1" x14ac:dyDescent="0.25">
      <c r="A197" s="552"/>
      <c r="B197" s="550"/>
      <c r="C197" s="688"/>
      <c r="D197" s="689"/>
      <c r="E197" s="552"/>
      <c r="F197" s="552"/>
      <c r="G197" s="687"/>
      <c r="H197" s="552"/>
    </row>
    <row r="198" spans="1:8" s="285" customFormat="1" ht="12.75" customHeight="1" outlineLevel="1" x14ac:dyDescent="0.25">
      <c r="A198" s="552">
        <v>26</v>
      </c>
      <c r="B198" s="552"/>
      <c r="C198" s="688"/>
      <c r="D198" s="689"/>
      <c r="E198" s="552"/>
      <c r="F198" s="550"/>
      <c r="G198" s="656"/>
      <c r="H198" s="554"/>
    </row>
    <row r="199" spans="1:8" s="285" customFormat="1" ht="12.75" customHeight="1" outlineLevel="1" x14ac:dyDescent="0.25">
      <c r="A199" s="552"/>
      <c r="B199" s="552"/>
      <c r="C199" s="688"/>
      <c r="D199" s="689"/>
      <c r="E199" s="552"/>
      <c r="F199" s="552"/>
      <c r="G199" s="657"/>
      <c r="H199" s="552"/>
    </row>
    <row r="200" spans="1:8" s="285" customFormat="1" ht="12.75" customHeight="1" outlineLevel="1" x14ac:dyDescent="0.25">
      <c r="A200" s="552"/>
      <c r="B200" s="552"/>
      <c r="C200" s="688"/>
      <c r="D200" s="689"/>
      <c r="E200" s="552"/>
      <c r="F200" s="552"/>
      <c r="G200" s="657"/>
      <c r="H200" s="552"/>
    </row>
    <row r="201" spans="1:8" s="285" customFormat="1" ht="12.75" customHeight="1" outlineLevel="1" x14ac:dyDescent="0.25">
      <c r="A201" s="552"/>
      <c r="B201" s="552"/>
      <c r="C201" s="688"/>
      <c r="D201" s="689"/>
      <c r="E201" s="552"/>
      <c r="F201" s="552"/>
      <c r="G201" s="657"/>
      <c r="H201" s="552"/>
    </row>
    <row r="202" spans="1:8" s="285" customFormat="1" ht="12.75" customHeight="1" outlineLevel="1" x14ac:dyDescent="0.25">
      <c r="A202" s="552"/>
      <c r="B202" s="552"/>
      <c r="C202" s="688"/>
      <c r="D202" s="689"/>
      <c r="E202" s="552"/>
      <c r="F202" s="552"/>
      <c r="G202" s="687"/>
      <c r="H202" s="552"/>
    </row>
    <row r="203" spans="1:8" s="285" customFormat="1" ht="12.75" customHeight="1" outlineLevel="1" x14ac:dyDescent="0.25">
      <c r="A203" s="552">
        <v>27</v>
      </c>
      <c r="B203" s="550"/>
      <c r="C203" s="688"/>
      <c r="D203" s="689"/>
      <c r="E203" s="552"/>
      <c r="F203" s="656"/>
      <c r="G203" s="656"/>
      <c r="H203" s="554"/>
    </row>
    <row r="204" spans="1:8" s="285" customFormat="1" ht="12.75" customHeight="1" outlineLevel="1" x14ac:dyDescent="0.25">
      <c r="A204" s="552"/>
      <c r="B204" s="550"/>
      <c r="C204" s="688"/>
      <c r="D204" s="689"/>
      <c r="E204" s="552"/>
      <c r="F204" s="657"/>
      <c r="G204" s="657"/>
      <c r="H204" s="552"/>
    </row>
    <row r="205" spans="1:8" s="285" customFormat="1" ht="12.75" customHeight="1" outlineLevel="1" x14ac:dyDescent="0.25">
      <c r="A205" s="552"/>
      <c r="B205" s="550"/>
      <c r="C205" s="688"/>
      <c r="D205" s="689"/>
      <c r="E205" s="552"/>
      <c r="F205" s="657"/>
      <c r="G205" s="657"/>
      <c r="H205" s="552"/>
    </row>
    <row r="206" spans="1:8" s="285" customFormat="1" ht="12.75" customHeight="1" outlineLevel="1" x14ac:dyDescent="0.25">
      <c r="A206" s="552"/>
      <c r="B206" s="550"/>
      <c r="C206" s="688"/>
      <c r="D206" s="689"/>
      <c r="E206" s="552"/>
      <c r="F206" s="657"/>
      <c r="G206" s="657"/>
      <c r="H206" s="552"/>
    </row>
    <row r="207" spans="1:8" s="285" customFormat="1" ht="12.75" customHeight="1" outlineLevel="1" x14ac:dyDescent="0.25">
      <c r="A207" s="552"/>
      <c r="B207" s="550"/>
      <c r="C207" s="688"/>
      <c r="D207" s="689"/>
      <c r="E207" s="552"/>
      <c r="F207" s="657"/>
      <c r="G207" s="687"/>
      <c r="H207" s="552"/>
    </row>
    <row r="208" spans="1:8" s="285" customFormat="1" ht="12.75" customHeight="1" outlineLevel="1" x14ac:dyDescent="0.25">
      <c r="A208" s="552">
        <v>28</v>
      </c>
      <c r="B208" s="552"/>
      <c r="C208" s="688"/>
      <c r="D208" s="689"/>
      <c r="E208" s="552"/>
      <c r="F208" s="656"/>
      <c r="G208" s="550"/>
      <c r="H208" s="554"/>
    </row>
    <row r="209" spans="1:8" s="285" customFormat="1" ht="12.75" customHeight="1" outlineLevel="1" x14ac:dyDescent="0.25">
      <c r="A209" s="552"/>
      <c r="B209" s="552"/>
      <c r="C209" s="688"/>
      <c r="D209" s="689"/>
      <c r="E209" s="552"/>
      <c r="F209" s="657"/>
      <c r="G209" s="552"/>
      <c r="H209" s="552"/>
    </row>
    <row r="210" spans="1:8" s="285" customFormat="1" ht="12.75" customHeight="1" outlineLevel="1" x14ac:dyDescent="0.25">
      <c r="A210" s="552"/>
      <c r="B210" s="552"/>
      <c r="C210" s="688"/>
      <c r="D210" s="689"/>
      <c r="E210" s="552"/>
      <c r="F210" s="657"/>
      <c r="G210" s="552"/>
      <c r="H210" s="552"/>
    </row>
    <row r="211" spans="1:8" s="285" customFormat="1" ht="12.75" customHeight="1" outlineLevel="1" x14ac:dyDescent="0.25">
      <c r="A211" s="552"/>
      <c r="B211" s="552"/>
      <c r="C211" s="688"/>
      <c r="D211" s="689"/>
      <c r="E211" s="552"/>
      <c r="F211" s="657"/>
      <c r="G211" s="552"/>
      <c r="H211" s="552"/>
    </row>
    <row r="212" spans="1:8" s="285" customFormat="1" ht="12.75" customHeight="1" outlineLevel="1" x14ac:dyDescent="0.25">
      <c r="A212" s="552"/>
      <c r="B212" s="552"/>
      <c r="C212" s="688"/>
      <c r="D212" s="689"/>
      <c r="E212" s="552"/>
      <c r="F212" s="687"/>
      <c r="G212" s="552"/>
      <c r="H212" s="552"/>
    </row>
    <row r="213" spans="1:8" s="285" customFormat="1" ht="12.75" customHeight="1" outlineLevel="1" x14ac:dyDescent="0.25">
      <c r="A213" s="552">
        <v>29</v>
      </c>
      <c r="B213" s="550"/>
      <c r="C213" s="688"/>
      <c r="D213" s="689"/>
      <c r="E213" s="552"/>
      <c r="F213" s="550"/>
      <c r="G213" s="656"/>
      <c r="H213" s="554"/>
    </row>
    <row r="214" spans="1:8" s="285" customFormat="1" ht="12.75" customHeight="1" outlineLevel="1" x14ac:dyDescent="0.25">
      <c r="A214" s="552"/>
      <c r="B214" s="550"/>
      <c r="C214" s="688"/>
      <c r="D214" s="689"/>
      <c r="E214" s="552"/>
      <c r="F214" s="552"/>
      <c r="G214" s="657"/>
      <c r="H214" s="552"/>
    </row>
    <row r="215" spans="1:8" s="285" customFormat="1" ht="12.75" customHeight="1" outlineLevel="1" x14ac:dyDescent="0.25">
      <c r="A215" s="552"/>
      <c r="B215" s="550"/>
      <c r="C215" s="688"/>
      <c r="D215" s="689"/>
      <c r="E215" s="552"/>
      <c r="F215" s="552"/>
      <c r="G215" s="657"/>
      <c r="H215" s="552"/>
    </row>
    <row r="216" spans="1:8" s="285" customFormat="1" ht="12.75" customHeight="1" outlineLevel="1" x14ac:dyDescent="0.25">
      <c r="A216" s="552"/>
      <c r="B216" s="550"/>
      <c r="C216" s="688"/>
      <c r="D216" s="689"/>
      <c r="E216" s="552"/>
      <c r="F216" s="552"/>
      <c r="G216" s="657"/>
      <c r="H216" s="552"/>
    </row>
    <row r="217" spans="1:8" s="285" customFormat="1" ht="12.75" customHeight="1" outlineLevel="1" x14ac:dyDescent="0.25">
      <c r="A217" s="552"/>
      <c r="B217" s="550"/>
      <c r="C217" s="688"/>
      <c r="D217" s="689"/>
      <c r="E217" s="552"/>
      <c r="F217" s="552"/>
      <c r="G217" s="687"/>
      <c r="H217" s="552"/>
    </row>
    <row r="218" spans="1:8" s="285" customFormat="1" ht="12.75" customHeight="1" outlineLevel="1" x14ac:dyDescent="0.25">
      <c r="A218" s="552">
        <v>30</v>
      </c>
      <c r="B218" s="550"/>
      <c r="C218" s="688"/>
      <c r="D218" s="689"/>
      <c r="E218" s="552"/>
      <c r="F218" s="550"/>
      <c r="G218" s="656"/>
      <c r="H218" s="554"/>
    </row>
    <row r="219" spans="1:8" s="285" customFormat="1" ht="12.75" customHeight="1" outlineLevel="1" x14ac:dyDescent="0.25">
      <c r="A219" s="552"/>
      <c r="B219" s="550"/>
      <c r="C219" s="688"/>
      <c r="D219" s="689"/>
      <c r="E219" s="552"/>
      <c r="F219" s="552"/>
      <c r="G219" s="657"/>
      <c r="H219" s="552"/>
    </row>
    <row r="220" spans="1:8" s="285" customFormat="1" ht="12.75" customHeight="1" outlineLevel="1" x14ac:dyDescent="0.25">
      <c r="A220" s="552"/>
      <c r="B220" s="550"/>
      <c r="C220" s="688"/>
      <c r="D220" s="689"/>
      <c r="E220" s="552"/>
      <c r="F220" s="552"/>
      <c r="G220" s="657"/>
      <c r="H220" s="552"/>
    </row>
    <row r="221" spans="1:8" s="285" customFormat="1" ht="12.75" customHeight="1" outlineLevel="1" x14ac:dyDescent="0.25">
      <c r="A221" s="552"/>
      <c r="B221" s="550"/>
      <c r="C221" s="688"/>
      <c r="D221" s="689"/>
      <c r="E221" s="552"/>
      <c r="F221" s="552"/>
      <c r="G221" s="657"/>
      <c r="H221" s="552"/>
    </row>
    <row r="222" spans="1:8" s="285" customFormat="1" ht="12.75" customHeight="1" outlineLevel="1" x14ac:dyDescent="0.25">
      <c r="A222" s="552"/>
      <c r="B222" s="550"/>
      <c r="C222" s="688"/>
      <c r="D222" s="689"/>
      <c r="E222" s="552"/>
      <c r="F222" s="552"/>
      <c r="G222" s="687"/>
      <c r="H222" s="552"/>
    </row>
    <row r="223" spans="1:8" s="285" customFormat="1" ht="12.75" customHeight="1" outlineLevel="1" x14ac:dyDescent="0.25">
      <c r="A223" s="552">
        <v>31</v>
      </c>
      <c r="B223" s="550"/>
      <c r="C223" s="688"/>
      <c r="D223" s="689"/>
      <c r="E223" s="552"/>
      <c r="F223" s="550"/>
      <c r="G223" s="656"/>
      <c r="H223" s="554"/>
    </row>
    <row r="224" spans="1:8" s="285" customFormat="1" ht="12.75" customHeight="1" outlineLevel="1" x14ac:dyDescent="0.25">
      <c r="A224" s="552"/>
      <c r="B224" s="550"/>
      <c r="C224" s="688"/>
      <c r="D224" s="689"/>
      <c r="E224" s="552"/>
      <c r="F224" s="552"/>
      <c r="G224" s="657"/>
      <c r="H224" s="552"/>
    </row>
    <row r="225" spans="1:8" s="285" customFormat="1" ht="12.75" customHeight="1" outlineLevel="1" x14ac:dyDescent="0.25">
      <c r="A225" s="552"/>
      <c r="B225" s="550"/>
      <c r="C225" s="688"/>
      <c r="D225" s="689"/>
      <c r="E225" s="552"/>
      <c r="F225" s="552"/>
      <c r="G225" s="657"/>
      <c r="H225" s="552"/>
    </row>
    <row r="226" spans="1:8" s="285" customFormat="1" ht="12.75" customHeight="1" outlineLevel="1" x14ac:dyDescent="0.25">
      <c r="A226" s="552"/>
      <c r="B226" s="550"/>
      <c r="C226" s="688"/>
      <c r="D226" s="689"/>
      <c r="E226" s="552"/>
      <c r="F226" s="552"/>
      <c r="G226" s="657"/>
      <c r="H226" s="552"/>
    </row>
    <row r="227" spans="1:8" s="285" customFormat="1" ht="12.75" customHeight="1" outlineLevel="1" x14ac:dyDescent="0.25">
      <c r="A227" s="552"/>
      <c r="B227" s="550"/>
      <c r="C227" s="688"/>
      <c r="D227" s="689"/>
      <c r="E227" s="552"/>
      <c r="F227" s="552"/>
      <c r="G227" s="687"/>
      <c r="H227" s="552"/>
    </row>
    <row r="228" spans="1:8" s="285" customFormat="1" ht="12.75" customHeight="1" outlineLevel="1" x14ac:dyDescent="0.25">
      <c r="A228" s="552">
        <v>32</v>
      </c>
      <c r="B228" s="550"/>
      <c r="C228" s="688"/>
      <c r="D228" s="689"/>
      <c r="E228" s="552"/>
      <c r="F228" s="550"/>
      <c r="G228" s="656"/>
      <c r="H228" s="554"/>
    </row>
    <row r="229" spans="1:8" s="285" customFormat="1" ht="12.75" customHeight="1" outlineLevel="1" x14ac:dyDescent="0.25">
      <c r="A229" s="552"/>
      <c r="B229" s="550"/>
      <c r="C229" s="688"/>
      <c r="D229" s="689"/>
      <c r="E229" s="552"/>
      <c r="F229" s="552"/>
      <c r="G229" s="657"/>
      <c r="H229" s="552"/>
    </row>
    <row r="230" spans="1:8" s="285" customFormat="1" ht="12.75" customHeight="1" outlineLevel="1" x14ac:dyDescent="0.25">
      <c r="A230" s="552"/>
      <c r="B230" s="550"/>
      <c r="C230" s="688"/>
      <c r="D230" s="689"/>
      <c r="E230" s="552"/>
      <c r="F230" s="552"/>
      <c r="G230" s="657"/>
      <c r="H230" s="552"/>
    </row>
    <row r="231" spans="1:8" s="285" customFormat="1" ht="12.75" customHeight="1" outlineLevel="1" x14ac:dyDescent="0.25">
      <c r="A231" s="552"/>
      <c r="B231" s="550"/>
      <c r="C231" s="688"/>
      <c r="D231" s="689"/>
      <c r="E231" s="552"/>
      <c r="F231" s="552"/>
      <c r="G231" s="657"/>
      <c r="H231" s="552"/>
    </row>
    <row r="232" spans="1:8" s="285" customFormat="1" ht="12.75" customHeight="1" outlineLevel="1" x14ac:dyDescent="0.25">
      <c r="A232" s="552"/>
      <c r="B232" s="550"/>
      <c r="C232" s="688"/>
      <c r="D232" s="689"/>
      <c r="E232" s="552"/>
      <c r="F232" s="552"/>
      <c r="G232" s="687"/>
      <c r="H232" s="552"/>
    </row>
    <row r="233" spans="1:8" s="285" customFormat="1" ht="12.75" customHeight="1" outlineLevel="1" x14ac:dyDescent="0.25">
      <c r="A233" s="552">
        <v>33</v>
      </c>
      <c r="B233" s="550"/>
      <c r="C233" s="688"/>
      <c r="D233" s="689"/>
      <c r="E233" s="552"/>
      <c r="F233" s="550"/>
      <c r="G233" s="656"/>
      <c r="H233" s="554"/>
    </row>
    <row r="234" spans="1:8" s="285" customFormat="1" ht="12.75" customHeight="1" outlineLevel="1" x14ac:dyDescent="0.25">
      <c r="A234" s="552"/>
      <c r="B234" s="550"/>
      <c r="C234" s="688"/>
      <c r="D234" s="689"/>
      <c r="E234" s="552"/>
      <c r="F234" s="552"/>
      <c r="G234" s="657"/>
      <c r="H234" s="552"/>
    </row>
    <row r="235" spans="1:8" s="285" customFormat="1" ht="12.75" customHeight="1" outlineLevel="1" x14ac:dyDescent="0.25">
      <c r="A235" s="552"/>
      <c r="B235" s="550"/>
      <c r="C235" s="688"/>
      <c r="D235" s="689"/>
      <c r="E235" s="552"/>
      <c r="F235" s="552"/>
      <c r="G235" s="657"/>
      <c r="H235" s="552"/>
    </row>
    <row r="236" spans="1:8" s="285" customFormat="1" ht="12.75" customHeight="1" outlineLevel="1" x14ac:dyDescent="0.25">
      <c r="A236" s="552"/>
      <c r="B236" s="550"/>
      <c r="C236" s="688"/>
      <c r="D236" s="689"/>
      <c r="E236" s="552"/>
      <c r="F236" s="552"/>
      <c r="G236" s="657"/>
      <c r="H236" s="552"/>
    </row>
    <row r="237" spans="1:8" s="285" customFormat="1" ht="12.75" customHeight="1" outlineLevel="1" x14ac:dyDescent="0.25">
      <c r="A237" s="552"/>
      <c r="B237" s="550"/>
      <c r="C237" s="688"/>
      <c r="D237" s="689"/>
      <c r="E237" s="552"/>
      <c r="F237" s="552"/>
      <c r="G237" s="687"/>
      <c r="H237" s="552"/>
    </row>
    <row r="238" spans="1:8" ht="12.75" customHeight="1" x14ac:dyDescent="0.2">
      <c r="A238" s="560" t="s">
        <v>437</v>
      </c>
      <c r="B238" s="547"/>
      <c r="C238" s="547"/>
      <c r="D238" s="547"/>
      <c r="E238" s="547"/>
      <c r="F238" s="547"/>
      <c r="G238" s="547"/>
      <c r="H238" s="548"/>
    </row>
    <row r="239" spans="1:8" s="285" customFormat="1" ht="12.75" customHeight="1" outlineLevel="1" x14ac:dyDescent="0.25">
      <c r="A239" s="552">
        <v>33</v>
      </c>
      <c r="B239" s="552"/>
      <c r="C239" s="688"/>
      <c r="D239" s="689"/>
      <c r="E239" s="552"/>
      <c r="F239" s="656"/>
      <c r="G239" s="550"/>
      <c r="H239" s="554"/>
    </row>
    <row r="240" spans="1:8" s="285" customFormat="1" ht="12.75" customHeight="1" outlineLevel="1" x14ac:dyDescent="0.25">
      <c r="A240" s="552"/>
      <c r="B240" s="552"/>
      <c r="C240" s="688"/>
      <c r="D240" s="689"/>
      <c r="E240" s="552"/>
      <c r="F240" s="657"/>
      <c r="G240" s="552"/>
      <c r="H240" s="552"/>
    </row>
    <row r="241" spans="1:8" s="285" customFormat="1" ht="12.75" customHeight="1" outlineLevel="1" x14ac:dyDescent="0.25">
      <c r="A241" s="552"/>
      <c r="B241" s="552"/>
      <c r="C241" s="688"/>
      <c r="D241" s="689"/>
      <c r="E241" s="552"/>
      <c r="F241" s="657"/>
      <c r="G241" s="552"/>
      <c r="H241" s="552"/>
    </row>
    <row r="242" spans="1:8" s="285" customFormat="1" ht="12.75" customHeight="1" outlineLevel="1" x14ac:dyDescent="0.25">
      <c r="A242" s="552"/>
      <c r="B242" s="552"/>
      <c r="C242" s="688"/>
      <c r="D242" s="689"/>
      <c r="E242" s="552"/>
      <c r="F242" s="657"/>
      <c r="G242" s="552"/>
      <c r="H242" s="552"/>
    </row>
    <row r="243" spans="1:8" s="285" customFormat="1" ht="12.75" customHeight="1" outlineLevel="1" x14ac:dyDescent="0.25">
      <c r="A243" s="552"/>
      <c r="B243" s="552"/>
      <c r="C243" s="688"/>
      <c r="D243" s="689"/>
      <c r="E243" s="552"/>
      <c r="F243" s="687"/>
      <c r="G243" s="552"/>
      <c r="H243" s="552"/>
    </row>
    <row r="244" spans="1:8" s="285" customFormat="1" ht="12.75" customHeight="1" outlineLevel="1" x14ac:dyDescent="0.25">
      <c r="A244" s="552">
        <v>34</v>
      </c>
      <c r="B244" s="552"/>
      <c r="C244" s="688"/>
      <c r="D244" s="689"/>
      <c r="E244" s="552"/>
      <c r="F244" s="656"/>
      <c r="G244" s="550"/>
      <c r="H244" s="554"/>
    </row>
    <row r="245" spans="1:8" s="285" customFormat="1" ht="12.75" customHeight="1" outlineLevel="1" x14ac:dyDescent="0.25">
      <c r="A245" s="552"/>
      <c r="B245" s="552"/>
      <c r="C245" s="688"/>
      <c r="D245" s="689"/>
      <c r="E245" s="552"/>
      <c r="F245" s="657"/>
      <c r="G245" s="552"/>
      <c r="H245" s="552"/>
    </row>
    <row r="246" spans="1:8" s="285" customFormat="1" ht="12.75" customHeight="1" outlineLevel="1" x14ac:dyDescent="0.25">
      <c r="A246" s="552"/>
      <c r="B246" s="552"/>
      <c r="C246" s="688"/>
      <c r="D246" s="689"/>
      <c r="E246" s="552"/>
      <c r="F246" s="657"/>
      <c r="G246" s="552"/>
      <c r="H246" s="552"/>
    </row>
    <row r="247" spans="1:8" s="285" customFormat="1" ht="12.75" customHeight="1" outlineLevel="1" x14ac:dyDescent="0.25">
      <c r="A247" s="552"/>
      <c r="B247" s="552"/>
      <c r="C247" s="688"/>
      <c r="D247" s="689"/>
      <c r="E247" s="552"/>
      <c r="F247" s="657"/>
      <c r="G247" s="552"/>
      <c r="H247" s="552"/>
    </row>
    <row r="248" spans="1:8" s="285" customFormat="1" ht="12.75" customHeight="1" outlineLevel="1" x14ac:dyDescent="0.25">
      <c r="A248" s="552"/>
      <c r="B248" s="552"/>
      <c r="C248" s="688"/>
      <c r="D248" s="689"/>
      <c r="E248" s="552"/>
      <c r="F248" s="687"/>
      <c r="G248" s="552"/>
      <c r="H248" s="552"/>
    </row>
    <row r="249" spans="1:8" s="286" customFormat="1" ht="12.75" customHeight="1" outlineLevel="1" x14ac:dyDescent="0.25">
      <c r="A249" s="549">
        <v>35</v>
      </c>
      <c r="B249" s="692"/>
      <c r="C249" s="693"/>
      <c r="D249" s="696"/>
      <c r="E249" s="549"/>
      <c r="F249" s="550"/>
      <c r="G249" s="656"/>
      <c r="H249" s="554"/>
    </row>
    <row r="250" spans="1:8" s="286" customFormat="1" ht="12.75" customHeight="1" outlineLevel="1" x14ac:dyDescent="0.25">
      <c r="A250" s="549"/>
      <c r="B250" s="692"/>
      <c r="C250" s="694"/>
      <c r="D250" s="549"/>
      <c r="E250" s="549"/>
      <c r="F250" s="552"/>
      <c r="G250" s="657"/>
      <c r="H250" s="552"/>
    </row>
    <row r="251" spans="1:8" s="286" customFormat="1" ht="12.75" customHeight="1" outlineLevel="1" x14ac:dyDescent="0.25">
      <c r="A251" s="549"/>
      <c r="B251" s="692"/>
      <c r="C251" s="694"/>
      <c r="D251" s="549"/>
      <c r="E251" s="549"/>
      <c r="F251" s="552"/>
      <c r="G251" s="657"/>
      <c r="H251" s="552"/>
    </row>
    <row r="252" spans="1:8" s="286" customFormat="1" ht="12.75" customHeight="1" outlineLevel="1" x14ac:dyDescent="0.25">
      <c r="A252" s="549"/>
      <c r="B252" s="692"/>
      <c r="C252" s="694"/>
      <c r="D252" s="549"/>
      <c r="E252" s="549"/>
      <c r="F252" s="552"/>
      <c r="G252" s="657"/>
      <c r="H252" s="552"/>
    </row>
    <row r="253" spans="1:8" s="286" customFormat="1" ht="12.75" customHeight="1" outlineLevel="1" x14ac:dyDescent="0.25">
      <c r="A253" s="549"/>
      <c r="B253" s="692"/>
      <c r="C253" s="695"/>
      <c r="D253" s="549"/>
      <c r="E253" s="549"/>
      <c r="F253" s="552"/>
      <c r="G253" s="687"/>
      <c r="H253" s="552"/>
    </row>
    <row r="254" spans="1:8" ht="12.75" customHeight="1" x14ac:dyDescent="0.2">
      <c r="A254" s="270"/>
      <c r="B254" s="270"/>
      <c r="C254" s="555"/>
      <c r="D254" s="555"/>
      <c r="E254" s="270"/>
      <c r="F254" s="270"/>
      <c r="G254" s="270"/>
    </row>
    <row r="255" spans="1:8" ht="12.75" customHeight="1" x14ac:dyDescent="0.2">
      <c r="A255" s="282"/>
      <c r="B255" s="282"/>
      <c r="C255" s="506" t="s">
        <v>409</v>
      </c>
      <c r="D255" s="507"/>
      <c r="E255" s="504" t="s">
        <v>410</v>
      </c>
      <c r="F255" s="504"/>
      <c r="G255" s="505" t="s">
        <v>437</v>
      </c>
      <c r="H255" s="505"/>
    </row>
    <row r="256" spans="1:8" ht="12.75" customHeight="1" x14ac:dyDescent="0.2">
      <c r="A256" s="512" t="s">
        <v>438</v>
      </c>
      <c r="B256" s="556"/>
      <c r="C256" s="557" t="s">
        <v>439</v>
      </c>
      <c r="D256" s="558"/>
      <c r="E256" s="690"/>
      <c r="F256" s="691"/>
      <c r="G256" s="690"/>
      <c r="H256" s="691"/>
    </row>
    <row r="257" spans="1:8" ht="12.75" customHeight="1" x14ac:dyDescent="0.2">
      <c r="A257" s="512" t="s">
        <v>440</v>
      </c>
      <c r="B257" s="556"/>
      <c r="C257" s="514">
        <v>43709</v>
      </c>
      <c r="D257" s="581"/>
      <c r="E257" s="582"/>
      <c r="F257" s="583"/>
      <c r="G257" s="582"/>
      <c r="H257" s="583"/>
    </row>
    <row r="258" spans="1:8" ht="12.75" customHeight="1" x14ac:dyDescent="0.2">
      <c r="A258" s="512" t="s">
        <v>441</v>
      </c>
      <c r="B258" s="556"/>
      <c r="C258" s="582" t="s">
        <v>330</v>
      </c>
      <c r="D258" s="583"/>
      <c r="E258" s="557" t="s">
        <v>392</v>
      </c>
      <c r="F258" s="558"/>
      <c r="G258" s="557" t="s">
        <v>392</v>
      </c>
      <c r="H258" s="558"/>
    </row>
    <row r="259" spans="1:8" ht="12.75" customHeight="1" x14ac:dyDescent="0.2">
      <c r="A259" s="270"/>
      <c r="B259" s="270"/>
      <c r="C259" s="270"/>
      <c r="D259" s="270"/>
      <c r="E259" s="270"/>
      <c r="F259" s="270"/>
      <c r="G259" s="270"/>
      <c r="H259" s="270"/>
    </row>
    <row r="260" spans="1:8" s="284" customFormat="1" ht="12.75" customHeight="1" x14ac:dyDescent="0.2">
      <c r="A260" s="561" t="s">
        <v>442</v>
      </c>
      <c r="B260" s="562"/>
      <c r="C260" s="270"/>
      <c r="D260" s="270"/>
      <c r="E260" s="270"/>
      <c r="F260" s="270"/>
      <c r="G260" s="270"/>
      <c r="H260" s="267"/>
    </row>
    <row r="261" spans="1:8" s="284" customFormat="1" ht="12.75" customHeight="1" x14ac:dyDescent="0.25">
      <c r="A261" s="701" t="s">
        <v>279</v>
      </c>
      <c r="B261" s="702"/>
      <c r="C261" s="635" t="s">
        <v>443</v>
      </c>
      <c r="D261" s="636"/>
      <c r="E261" s="636"/>
      <c r="F261" s="636"/>
      <c r="G261" s="636"/>
      <c r="H261" s="637"/>
    </row>
    <row r="262" spans="1:8" s="284" customFormat="1" ht="12.75" customHeight="1" x14ac:dyDescent="0.25">
      <c r="A262" s="703"/>
      <c r="B262" s="704"/>
      <c r="C262" s="641"/>
      <c r="D262" s="642"/>
      <c r="E262" s="642"/>
      <c r="F262" s="642"/>
      <c r="G262" s="642"/>
      <c r="H262" s="643"/>
    </row>
    <row r="263" spans="1:8" s="284" customFormat="1" ht="12.75" customHeight="1" x14ac:dyDescent="0.25">
      <c r="A263" s="573" t="s">
        <v>432</v>
      </c>
      <c r="B263" s="574"/>
      <c r="C263" s="460" t="s">
        <v>444</v>
      </c>
      <c r="D263" s="461"/>
      <c r="E263" s="461"/>
      <c r="F263" s="461"/>
      <c r="G263" s="461"/>
      <c r="H263" s="462"/>
    </row>
    <row r="264" spans="1:8" s="284" customFormat="1" ht="12.75" customHeight="1" x14ac:dyDescent="0.25">
      <c r="A264" s="575"/>
      <c r="B264" s="576"/>
      <c r="C264" s="463"/>
      <c r="D264" s="464"/>
      <c r="E264" s="464"/>
      <c r="F264" s="464"/>
      <c r="G264" s="464"/>
      <c r="H264" s="465"/>
    </row>
    <row r="265" spans="1:8" ht="12.75" customHeight="1" x14ac:dyDescent="0.2">
      <c r="A265" s="577" t="s">
        <v>445</v>
      </c>
      <c r="B265" s="697"/>
      <c r="C265" s="635" t="s">
        <v>531</v>
      </c>
      <c r="D265" s="636"/>
      <c r="E265" s="636"/>
      <c r="F265" s="636"/>
      <c r="G265" s="636"/>
      <c r="H265" s="637"/>
    </row>
    <row r="266" spans="1:8" ht="12.75" customHeight="1" x14ac:dyDescent="0.2">
      <c r="A266" s="584"/>
      <c r="B266" s="698"/>
      <c r="C266" s="638"/>
      <c r="D266" s="639"/>
      <c r="E266" s="639"/>
      <c r="F266" s="639"/>
      <c r="G266" s="639"/>
      <c r="H266" s="640"/>
    </row>
    <row r="267" spans="1:8" ht="12.75" customHeight="1" x14ac:dyDescent="0.2">
      <c r="A267" s="699"/>
      <c r="B267" s="700"/>
      <c r="C267" s="641"/>
      <c r="D267" s="642"/>
      <c r="E267" s="642"/>
      <c r="F267" s="642"/>
      <c r="G267" s="642"/>
      <c r="H267" s="643"/>
    </row>
    <row r="268" spans="1:8" ht="12.75" customHeight="1" x14ac:dyDescent="0.2">
      <c r="A268" s="577" t="s">
        <v>447</v>
      </c>
      <c r="B268" s="697"/>
      <c r="C268" s="635" t="s">
        <v>532</v>
      </c>
      <c r="D268" s="636"/>
      <c r="E268" s="636"/>
      <c r="F268" s="636"/>
      <c r="G268" s="636"/>
      <c r="H268" s="637"/>
    </row>
    <row r="269" spans="1:8" ht="12.75" customHeight="1" x14ac:dyDescent="0.2">
      <c r="A269" s="584"/>
      <c r="B269" s="698"/>
      <c r="C269" s="638"/>
      <c r="D269" s="639"/>
      <c r="E269" s="639"/>
      <c r="F269" s="639"/>
      <c r="G269" s="639"/>
      <c r="H269" s="640"/>
    </row>
    <row r="270" spans="1:8" ht="12.75" customHeight="1" x14ac:dyDescent="0.2">
      <c r="A270" s="699"/>
      <c r="B270" s="700"/>
      <c r="C270" s="641"/>
      <c r="D270" s="642"/>
      <c r="E270" s="642"/>
      <c r="F270" s="642"/>
      <c r="G270" s="642"/>
      <c r="H270" s="643"/>
    </row>
    <row r="272" spans="1:8" ht="12.75" customHeight="1" x14ac:dyDescent="0.2">
      <c r="A272" s="595" t="s">
        <v>370</v>
      </c>
      <c r="B272" s="596"/>
      <c r="C272" s="596"/>
      <c r="D272" s="596"/>
      <c r="E272" s="596"/>
      <c r="F272" s="596"/>
      <c r="G272" s="596"/>
      <c r="H272" s="597"/>
    </row>
    <row r="273" spans="1:8" ht="12.75" customHeight="1" x14ac:dyDescent="0.2">
      <c r="A273" s="283" t="s">
        <v>449</v>
      </c>
      <c r="B273" s="283" t="s">
        <v>450</v>
      </c>
      <c r="C273" s="283" t="s">
        <v>451</v>
      </c>
      <c r="D273" s="595" t="s">
        <v>452</v>
      </c>
      <c r="E273" s="596"/>
      <c r="F273" s="596"/>
      <c r="G273" s="596"/>
      <c r="H273" s="597"/>
    </row>
    <row r="274" spans="1:8" ht="12.75" customHeight="1" x14ac:dyDescent="0.2">
      <c r="A274" s="598" t="s">
        <v>453</v>
      </c>
      <c r="B274" s="598" t="s">
        <v>454</v>
      </c>
      <c r="C274" s="598" t="s">
        <v>455</v>
      </c>
      <c r="D274" s="601" t="s">
        <v>456</v>
      </c>
      <c r="E274" s="604" t="s">
        <v>457</v>
      </c>
      <c r="F274" s="605"/>
      <c r="G274" s="610" t="s">
        <v>455</v>
      </c>
      <c r="H274" s="611"/>
    </row>
    <row r="275" spans="1:8" ht="12.75" customHeight="1" x14ac:dyDescent="0.2">
      <c r="A275" s="599"/>
      <c r="B275" s="599"/>
      <c r="C275" s="599"/>
      <c r="D275" s="602"/>
      <c r="E275" s="606"/>
      <c r="F275" s="607"/>
      <c r="G275" s="612"/>
      <c r="H275" s="613"/>
    </row>
    <row r="276" spans="1:8" ht="12.75" customHeight="1" x14ac:dyDescent="0.2">
      <c r="A276" s="599"/>
      <c r="B276" s="599"/>
      <c r="C276" s="599"/>
      <c r="D276" s="602"/>
      <c r="E276" s="606"/>
      <c r="F276" s="607"/>
      <c r="G276" s="612"/>
      <c r="H276" s="613"/>
    </row>
    <row r="277" spans="1:8" ht="12.75" customHeight="1" x14ac:dyDescent="0.2">
      <c r="A277" s="599"/>
      <c r="B277" s="599"/>
      <c r="C277" s="599"/>
      <c r="D277" s="602"/>
      <c r="E277" s="606"/>
      <c r="F277" s="607"/>
      <c r="G277" s="612"/>
      <c r="H277" s="613"/>
    </row>
    <row r="278" spans="1:8" ht="12.75" customHeight="1" x14ac:dyDescent="0.2">
      <c r="A278" s="599"/>
      <c r="B278" s="599"/>
      <c r="C278" s="599"/>
      <c r="D278" s="603"/>
      <c r="E278" s="608"/>
      <c r="F278" s="609"/>
      <c r="G278" s="614"/>
      <c r="H278" s="615"/>
    </row>
    <row r="279" spans="1:8" ht="12.75" customHeight="1" x14ac:dyDescent="0.2">
      <c r="A279" s="599"/>
      <c r="B279" s="599"/>
      <c r="C279" s="599"/>
      <c r="D279" s="601" t="s">
        <v>458</v>
      </c>
      <c r="E279" s="604" t="s">
        <v>459</v>
      </c>
      <c r="F279" s="605"/>
      <c r="G279" s="610" t="s">
        <v>455</v>
      </c>
      <c r="H279" s="611"/>
    </row>
    <row r="280" spans="1:8" ht="12.75" customHeight="1" x14ac:dyDescent="0.2">
      <c r="A280" s="599"/>
      <c r="B280" s="599"/>
      <c r="C280" s="599"/>
      <c r="D280" s="602"/>
      <c r="E280" s="606"/>
      <c r="F280" s="607"/>
      <c r="G280" s="612"/>
      <c r="H280" s="613"/>
    </row>
    <row r="281" spans="1:8" ht="12.75" customHeight="1" x14ac:dyDescent="0.2">
      <c r="A281" s="599"/>
      <c r="B281" s="599"/>
      <c r="C281" s="599"/>
      <c r="D281" s="602"/>
      <c r="E281" s="606"/>
      <c r="F281" s="607"/>
      <c r="G281" s="612"/>
      <c r="H281" s="613"/>
    </row>
    <row r="282" spans="1:8" ht="12.75" customHeight="1" x14ac:dyDescent="0.2">
      <c r="A282" s="599"/>
      <c r="B282" s="599"/>
      <c r="C282" s="599"/>
      <c r="D282" s="602"/>
      <c r="E282" s="606"/>
      <c r="F282" s="607"/>
      <c r="G282" s="612"/>
      <c r="H282" s="613"/>
    </row>
    <row r="283" spans="1:8" ht="12.75" customHeight="1" x14ac:dyDescent="0.2">
      <c r="A283" s="599"/>
      <c r="B283" s="599"/>
      <c r="C283" s="599"/>
      <c r="D283" s="603"/>
      <c r="E283" s="608"/>
      <c r="F283" s="609"/>
      <c r="G283" s="614"/>
      <c r="H283" s="615"/>
    </row>
    <row r="284" spans="1:8" ht="12.75" customHeight="1" x14ac:dyDescent="0.2">
      <c r="A284" s="599"/>
      <c r="B284" s="599"/>
      <c r="C284" s="599"/>
      <c r="D284" s="601" t="s">
        <v>460</v>
      </c>
      <c r="E284" s="604" t="s">
        <v>461</v>
      </c>
      <c r="F284" s="605"/>
      <c r="G284" s="610" t="s">
        <v>455</v>
      </c>
      <c r="H284" s="611"/>
    </row>
    <row r="285" spans="1:8" ht="12.75" customHeight="1" x14ac:dyDescent="0.2">
      <c r="A285" s="599"/>
      <c r="B285" s="599"/>
      <c r="C285" s="599"/>
      <c r="D285" s="602"/>
      <c r="E285" s="606"/>
      <c r="F285" s="607"/>
      <c r="G285" s="612"/>
      <c r="H285" s="613"/>
    </row>
    <row r="286" spans="1:8" ht="12.75" customHeight="1" x14ac:dyDescent="0.2">
      <c r="A286" s="599"/>
      <c r="B286" s="599"/>
      <c r="C286" s="599"/>
      <c r="D286" s="602"/>
      <c r="E286" s="606"/>
      <c r="F286" s="607"/>
      <c r="G286" s="612"/>
      <c r="H286" s="613"/>
    </row>
    <row r="287" spans="1:8" ht="12.75" customHeight="1" x14ac:dyDescent="0.2">
      <c r="A287" s="599"/>
      <c r="B287" s="599"/>
      <c r="C287" s="599"/>
      <c r="D287" s="602"/>
      <c r="E287" s="606"/>
      <c r="F287" s="607"/>
      <c r="G287" s="612"/>
      <c r="H287" s="613"/>
    </row>
    <row r="288" spans="1:8" ht="12.75" customHeight="1" x14ac:dyDescent="0.2">
      <c r="A288" s="599"/>
      <c r="B288" s="599"/>
      <c r="C288" s="599"/>
      <c r="D288" s="602"/>
      <c r="E288" s="608"/>
      <c r="F288" s="609"/>
      <c r="G288" s="614"/>
      <c r="H288" s="615"/>
    </row>
    <row r="289" spans="1:8" ht="12.75" customHeight="1" x14ac:dyDescent="0.2">
      <c r="A289" s="599"/>
      <c r="B289" s="599"/>
      <c r="C289" s="599"/>
      <c r="D289" s="602"/>
      <c r="E289" s="604" t="s">
        <v>462</v>
      </c>
      <c r="F289" s="605"/>
      <c r="G289" s="616" t="s">
        <v>336</v>
      </c>
      <c r="H289" s="617"/>
    </row>
    <row r="290" spans="1:8" ht="12.75" customHeight="1" x14ac:dyDescent="0.2">
      <c r="A290" s="599"/>
      <c r="B290" s="599"/>
      <c r="C290" s="599"/>
      <c r="D290" s="602"/>
      <c r="E290" s="608"/>
      <c r="F290" s="609"/>
      <c r="G290" s="618"/>
      <c r="H290" s="619"/>
    </row>
    <row r="291" spans="1:8" ht="12.75" customHeight="1" x14ac:dyDescent="0.2">
      <c r="A291" s="599"/>
      <c r="B291" s="599"/>
      <c r="C291" s="599"/>
      <c r="D291" s="602"/>
      <c r="E291" s="604" t="s">
        <v>463</v>
      </c>
      <c r="F291" s="605"/>
      <c r="G291" s="610" t="s">
        <v>336</v>
      </c>
      <c r="H291" s="611"/>
    </row>
    <row r="292" spans="1:8" ht="12.75" customHeight="1" x14ac:dyDescent="0.2">
      <c r="A292" s="599"/>
      <c r="B292" s="599"/>
      <c r="C292" s="599"/>
      <c r="D292" s="602"/>
      <c r="E292" s="606"/>
      <c r="F292" s="607"/>
      <c r="G292" s="612"/>
      <c r="H292" s="613"/>
    </row>
    <row r="293" spans="1:8" ht="12.75" customHeight="1" x14ac:dyDescent="0.2">
      <c r="A293" s="599"/>
      <c r="B293" s="599"/>
      <c r="C293" s="599"/>
      <c r="D293" s="602"/>
      <c r="E293" s="606"/>
      <c r="F293" s="607"/>
      <c r="G293" s="612"/>
      <c r="H293" s="613"/>
    </row>
    <row r="294" spans="1:8" ht="12.75" customHeight="1" x14ac:dyDescent="0.2">
      <c r="A294" s="599"/>
      <c r="B294" s="599"/>
      <c r="C294" s="599"/>
      <c r="D294" s="602"/>
      <c r="E294" s="606"/>
      <c r="F294" s="607"/>
      <c r="G294" s="612"/>
      <c r="H294" s="613"/>
    </row>
    <row r="295" spans="1:8" ht="12.75" customHeight="1" x14ac:dyDescent="0.2">
      <c r="A295" s="599"/>
      <c r="B295" s="599"/>
      <c r="C295" s="599"/>
      <c r="D295" s="602"/>
      <c r="E295" s="608"/>
      <c r="F295" s="609"/>
      <c r="G295" s="614"/>
      <c r="H295" s="615"/>
    </row>
    <row r="296" spans="1:8" ht="12.75" customHeight="1" x14ac:dyDescent="0.2">
      <c r="A296" s="599"/>
      <c r="B296" s="599"/>
      <c r="C296" s="599"/>
      <c r="D296" s="602"/>
      <c r="E296" s="604" t="s">
        <v>464</v>
      </c>
      <c r="F296" s="605"/>
      <c r="G296" s="616" t="s">
        <v>336</v>
      </c>
      <c r="H296" s="617"/>
    </row>
    <row r="297" spans="1:8" ht="12.75" customHeight="1" x14ac:dyDescent="0.2">
      <c r="A297" s="599"/>
      <c r="B297" s="599"/>
      <c r="C297" s="599"/>
      <c r="D297" s="603"/>
      <c r="E297" s="608"/>
      <c r="F297" s="609"/>
      <c r="G297" s="618"/>
      <c r="H297" s="619"/>
    </row>
    <row r="298" spans="1:8" ht="12.75" customHeight="1" x14ac:dyDescent="0.2">
      <c r="A298" s="599"/>
      <c r="B298" s="599"/>
      <c r="C298" s="599"/>
      <c r="D298" s="601" t="s">
        <v>465</v>
      </c>
      <c r="E298" s="604" t="s">
        <v>466</v>
      </c>
      <c r="F298" s="605"/>
      <c r="G298" s="610" t="s">
        <v>455</v>
      </c>
      <c r="H298" s="611"/>
    </row>
    <row r="299" spans="1:8" ht="12.75" customHeight="1" x14ac:dyDescent="0.2">
      <c r="A299" s="599"/>
      <c r="B299" s="599"/>
      <c r="C299" s="599"/>
      <c r="D299" s="602"/>
      <c r="E299" s="606"/>
      <c r="F299" s="607"/>
      <c r="G299" s="612"/>
      <c r="H299" s="613"/>
    </row>
    <row r="300" spans="1:8" ht="12.75" customHeight="1" x14ac:dyDescent="0.2">
      <c r="A300" s="599"/>
      <c r="B300" s="599"/>
      <c r="C300" s="599"/>
      <c r="D300" s="602"/>
      <c r="E300" s="606"/>
      <c r="F300" s="607"/>
      <c r="G300" s="612"/>
      <c r="H300" s="613"/>
    </row>
    <row r="301" spans="1:8" ht="12.75" customHeight="1" x14ac:dyDescent="0.2">
      <c r="A301" s="599"/>
      <c r="B301" s="599"/>
      <c r="C301" s="599"/>
      <c r="D301" s="602"/>
      <c r="E301" s="606"/>
      <c r="F301" s="607"/>
      <c r="G301" s="612"/>
      <c r="H301" s="613"/>
    </row>
    <row r="302" spans="1:8" ht="12.75" customHeight="1" x14ac:dyDescent="0.2">
      <c r="A302" s="599"/>
      <c r="B302" s="599"/>
      <c r="C302" s="599"/>
      <c r="D302" s="602"/>
      <c r="E302" s="608"/>
      <c r="F302" s="609"/>
      <c r="G302" s="614"/>
      <c r="H302" s="615"/>
    </row>
    <row r="303" spans="1:8" ht="12.75" customHeight="1" x14ac:dyDescent="0.2">
      <c r="A303" s="599"/>
      <c r="B303" s="599"/>
      <c r="C303" s="599"/>
      <c r="D303" s="602"/>
      <c r="E303" s="604" t="s">
        <v>467</v>
      </c>
      <c r="F303" s="605"/>
      <c r="G303" s="616" t="s">
        <v>336</v>
      </c>
      <c r="H303" s="617"/>
    </row>
    <row r="304" spans="1:8" ht="12.75" customHeight="1" x14ac:dyDescent="0.2">
      <c r="A304" s="600"/>
      <c r="B304" s="600"/>
      <c r="C304" s="600"/>
      <c r="D304" s="603"/>
      <c r="E304" s="608"/>
      <c r="F304" s="609"/>
      <c r="G304" s="618"/>
      <c r="H304" s="619"/>
    </row>
    <row r="305" spans="1:8" ht="12.75" customHeight="1" x14ac:dyDescent="0.2">
      <c r="A305" s="598" t="s">
        <v>453</v>
      </c>
      <c r="B305" s="598" t="s">
        <v>468</v>
      </c>
      <c r="C305" s="598" t="s">
        <v>455</v>
      </c>
      <c r="D305" s="620" t="s">
        <v>456</v>
      </c>
      <c r="E305" s="623" t="s">
        <v>469</v>
      </c>
      <c r="F305" s="624"/>
      <c r="G305" s="629" t="s">
        <v>455</v>
      </c>
      <c r="H305" s="630"/>
    </row>
    <row r="306" spans="1:8" ht="12.75" customHeight="1" x14ac:dyDescent="0.2">
      <c r="A306" s="599"/>
      <c r="B306" s="599"/>
      <c r="C306" s="599"/>
      <c r="D306" s="621"/>
      <c r="E306" s="625"/>
      <c r="F306" s="626"/>
      <c r="G306" s="631"/>
      <c r="H306" s="632"/>
    </row>
    <row r="307" spans="1:8" ht="12.75" customHeight="1" x14ac:dyDescent="0.2">
      <c r="A307" s="599"/>
      <c r="B307" s="599"/>
      <c r="C307" s="599"/>
      <c r="D307" s="621"/>
      <c r="E307" s="625"/>
      <c r="F307" s="626"/>
      <c r="G307" s="631"/>
      <c r="H307" s="632"/>
    </row>
    <row r="308" spans="1:8" ht="12.75" customHeight="1" x14ac:dyDescent="0.2">
      <c r="A308" s="599"/>
      <c r="B308" s="599"/>
      <c r="C308" s="599"/>
      <c r="D308" s="621"/>
      <c r="E308" s="625"/>
      <c r="F308" s="626"/>
      <c r="G308" s="631"/>
      <c r="H308" s="632"/>
    </row>
    <row r="309" spans="1:8" ht="12.75" customHeight="1" x14ac:dyDescent="0.2">
      <c r="A309" s="600"/>
      <c r="B309" s="600"/>
      <c r="C309" s="600"/>
      <c r="D309" s="622"/>
      <c r="E309" s="627"/>
      <c r="F309" s="628"/>
      <c r="G309" s="633"/>
      <c r="H309" s="634"/>
    </row>
  </sheetData>
  <sheetProtection algorithmName="SHA-512" hashValue="7AuqmEuthPeXCrjYlw57Jm1tPsRgE1DdVpyk24lfB1XKJ867X/WNBekh5DzNwh+eKR1EKf86h/HRmvnXzVzw2Q==" saltValue="oXF550HjwHe+ZCPVnCQg7g==" spinCount="100000" sheet="1" objects="1" scenarios="1"/>
  <mergeCells count="408">
    <mergeCell ref="G305:H309"/>
    <mergeCell ref="D298:D304"/>
    <mergeCell ref="E298:F302"/>
    <mergeCell ref="G298:H302"/>
    <mergeCell ref="E303:F304"/>
    <mergeCell ref="G303:H304"/>
    <mergeCell ref="A305:A309"/>
    <mergeCell ref="B305:B309"/>
    <mergeCell ref="C305:C309"/>
    <mergeCell ref="D305:D309"/>
    <mergeCell ref="E305:F309"/>
    <mergeCell ref="A272:H272"/>
    <mergeCell ref="D273:H273"/>
    <mergeCell ref="A274:A304"/>
    <mergeCell ref="B274:B304"/>
    <mergeCell ref="C274:C304"/>
    <mergeCell ref="D274:D278"/>
    <mergeCell ref="E274:F278"/>
    <mergeCell ref="G274:H278"/>
    <mergeCell ref="D279:D283"/>
    <mergeCell ref="E279:F283"/>
    <mergeCell ref="G279:H283"/>
    <mergeCell ref="D284:D297"/>
    <mergeCell ref="E284:F288"/>
    <mergeCell ref="G284:H288"/>
    <mergeCell ref="E289:F290"/>
    <mergeCell ref="G289:H290"/>
    <mergeCell ref="E291:F295"/>
    <mergeCell ref="G291:H295"/>
    <mergeCell ref="E296:F297"/>
    <mergeCell ref="G296:H297"/>
    <mergeCell ref="A263:B264"/>
    <mergeCell ref="C263:H264"/>
    <mergeCell ref="A265:B267"/>
    <mergeCell ref="C265:H267"/>
    <mergeCell ref="A268:B270"/>
    <mergeCell ref="C268:H270"/>
    <mergeCell ref="A258:B258"/>
    <mergeCell ref="C258:D258"/>
    <mergeCell ref="E258:F258"/>
    <mergeCell ref="G258:H258"/>
    <mergeCell ref="A260:B260"/>
    <mergeCell ref="A261:B262"/>
    <mergeCell ref="C261:H262"/>
    <mergeCell ref="A257:B257"/>
    <mergeCell ref="C257:D257"/>
    <mergeCell ref="E257:F257"/>
    <mergeCell ref="G257:H257"/>
    <mergeCell ref="G249:G253"/>
    <mergeCell ref="H249:H253"/>
    <mergeCell ref="C254:D254"/>
    <mergeCell ref="C255:D255"/>
    <mergeCell ref="E255:F255"/>
    <mergeCell ref="G255:H255"/>
    <mergeCell ref="A249:A253"/>
    <mergeCell ref="B249:B253"/>
    <mergeCell ref="C249:C253"/>
    <mergeCell ref="D249:D253"/>
    <mergeCell ref="E249:E253"/>
    <mergeCell ref="F249:F253"/>
    <mergeCell ref="A244:A248"/>
    <mergeCell ref="B244:B248"/>
    <mergeCell ref="C244:C248"/>
    <mergeCell ref="D244:D248"/>
    <mergeCell ref="E244:E248"/>
    <mergeCell ref="F244:F248"/>
    <mergeCell ref="G244:G248"/>
    <mergeCell ref="H244:H248"/>
    <mergeCell ref="A256:B256"/>
    <mergeCell ref="C256:D256"/>
    <mergeCell ref="E256:F256"/>
    <mergeCell ref="G256:H256"/>
    <mergeCell ref="G233:G237"/>
    <mergeCell ref="H233:H237"/>
    <mergeCell ref="A238:H238"/>
    <mergeCell ref="A239:A243"/>
    <mergeCell ref="B239:B243"/>
    <mergeCell ref="C239:C243"/>
    <mergeCell ref="D239:D243"/>
    <mergeCell ref="E239:E243"/>
    <mergeCell ref="F239:F243"/>
    <mergeCell ref="G239:G243"/>
    <mergeCell ref="A233:A237"/>
    <mergeCell ref="B233:B237"/>
    <mergeCell ref="C233:C237"/>
    <mergeCell ref="D233:D237"/>
    <mergeCell ref="E233:E237"/>
    <mergeCell ref="F233:F237"/>
    <mergeCell ref="H239:H243"/>
    <mergeCell ref="G223:G227"/>
    <mergeCell ref="H223:H227"/>
    <mergeCell ref="A228:A232"/>
    <mergeCell ref="B228:B232"/>
    <mergeCell ref="C228:C232"/>
    <mergeCell ref="D228:D232"/>
    <mergeCell ref="E228:E232"/>
    <mergeCell ref="F228:F232"/>
    <mergeCell ref="G228:G232"/>
    <mergeCell ref="H228:H232"/>
    <mergeCell ref="A223:A227"/>
    <mergeCell ref="B223:B227"/>
    <mergeCell ref="C223:C227"/>
    <mergeCell ref="D223:D227"/>
    <mergeCell ref="E223:E227"/>
    <mergeCell ref="F223:F227"/>
    <mergeCell ref="G213:G217"/>
    <mergeCell ref="H213:H217"/>
    <mergeCell ref="A218:A222"/>
    <mergeCell ref="B218:B222"/>
    <mergeCell ref="C218:C222"/>
    <mergeCell ref="D218:D222"/>
    <mergeCell ref="E218:E222"/>
    <mergeCell ref="F218:F222"/>
    <mergeCell ref="G218:G222"/>
    <mergeCell ref="H218:H222"/>
    <mergeCell ref="A213:A217"/>
    <mergeCell ref="B213:B217"/>
    <mergeCell ref="C213:C217"/>
    <mergeCell ref="D213:D217"/>
    <mergeCell ref="E213:E217"/>
    <mergeCell ref="F213:F217"/>
    <mergeCell ref="G203:G207"/>
    <mergeCell ref="H203:H207"/>
    <mergeCell ref="A208:A212"/>
    <mergeCell ref="B208:B212"/>
    <mergeCell ref="C208:C212"/>
    <mergeCell ref="D208:D212"/>
    <mergeCell ref="E208:E212"/>
    <mergeCell ref="F208:F212"/>
    <mergeCell ref="G208:G212"/>
    <mergeCell ref="H208:H212"/>
    <mergeCell ref="A203:A207"/>
    <mergeCell ref="B203:B207"/>
    <mergeCell ref="C203:C207"/>
    <mergeCell ref="D203:D207"/>
    <mergeCell ref="E203:E207"/>
    <mergeCell ref="F203:F207"/>
    <mergeCell ref="H193:H197"/>
    <mergeCell ref="A198:A202"/>
    <mergeCell ref="B198:B202"/>
    <mergeCell ref="C198:C202"/>
    <mergeCell ref="D198:D202"/>
    <mergeCell ref="E198:E202"/>
    <mergeCell ref="F198:F202"/>
    <mergeCell ref="G198:G202"/>
    <mergeCell ref="H198:H202"/>
    <mergeCell ref="A193:A197"/>
    <mergeCell ref="B193:B197"/>
    <mergeCell ref="C193:C197"/>
    <mergeCell ref="D193:D197"/>
    <mergeCell ref="E193:E197"/>
    <mergeCell ref="F193:F197"/>
    <mergeCell ref="G193:G197"/>
    <mergeCell ref="D188:D192"/>
    <mergeCell ref="E188:E192"/>
    <mergeCell ref="F188:F192"/>
    <mergeCell ref="A183:A187"/>
    <mergeCell ref="B183:B187"/>
    <mergeCell ref="C183:C187"/>
    <mergeCell ref="D183:D187"/>
    <mergeCell ref="E183:E187"/>
    <mergeCell ref="F183:F187"/>
    <mergeCell ref="G183:G187"/>
    <mergeCell ref="H183:H187"/>
    <mergeCell ref="G188:G192"/>
    <mergeCell ref="H188:H192"/>
    <mergeCell ref="G173:G176"/>
    <mergeCell ref="H173:H176"/>
    <mergeCell ref="A177:H177"/>
    <mergeCell ref="A178:A182"/>
    <mergeCell ref="B178:B182"/>
    <mergeCell ref="C178:C182"/>
    <mergeCell ref="D178:D182"/>
    <mergeCell ref="E178:E182"/>
    <mergeCell ref="F178:F182"/>
    <mergeCell ref="G178:G182"/>
    <mergeCell ref="A173:A176"/>
    <mergeCell ref="B173:B176"/>
    <mergeCell ref="C173:C176"/>
    <mergeCell ref="D173:D176"/>
    <mergeCell ref="E173:E176"/>
    <mergeCell ref="F173:F176"/>
    <mergeCell ref="H178:H182"/>
    <mergeCell ref="A188:A192"/>
    <mergeCell ref="B188:B192"/>
    <mergeCell ref="C188:C192"/>
    <mergeCell ref="G165:G168"/>
    <mergeCell ref="H165:H168"/>
    <mergeCell ref="A169:A172"/>
    <mergeCell ref="B169:B172"/>
    <mergeCell ref="C169:C172"/>
    <mergeCell ref="D169:D172"/>
    <mergeCell ref="E169:E172"/>
    <mergeCell ref="F169:F172"/>
    <mergeCell ref="G169:G172"/>
    <mergeCell ref="H169:H172"/>
    <mergeCell ref="A165:A168"/>
    <mergeCell ref="B165:B168"/>
    <mergeCell ref="C165:C168"/>
    <mergeCell ref="D165:D168"/>
    <mergeCell ref="E165:E168"/>
    <mergeCell ref="F165:F168"/>
    <mergeCell ref="G157:G160"/>
    <mergeCell ref="H157:H160"/>
    <mergeCell ref="A161:A164"/>
    <mergeCell ref="B161:B164"/>
    <mergeCell ref="C161:C164"/>
    <mergeCell ref="D161:D164"/>
    <mergeCell ref="E161:E164"/>
    <mergeCell ref="F161:F164"/>
    <mergeCell ref="G161:G164"/>
    <mergeCell ref="H161:H164"/>
    <mergeCell ref="A157:A160"/>
    <mergeCell ref="B157:B160"/>
    <mergeCell ref="C157:C160"/>
    <mergeCell ref="D157:D160"/>
    <mergeCell ref="E157:E160"/>
    <mergeCell ref="F157:F160"/>
    <mergeCell ref="G149:G152"/>
    <mergeCell ref="H149:H152"/>
    <mergeCell ref="A153:A156"/>
    <mergeCell ref="B153:B156"/>
    <mergeCell ref="C153:C156"/>
    <mergeCell ref="D153:D156"/>
    <mergeCell ref="E153:E156"/>
    <mergeCell ref="F153:F156"/>
    <mergeCell ref="G153:G156"/>
    <mergeCell ref="H153:H156"/>
    <mergeCell ref="A149:A152"/>
    <mergeCell ref="B149:B152"/>
    <mergeCell ref="C149:C152"/>
    <mergeCell ref="D149:D152"/>
    <mergeCell ref="E149:E152"/>
    <mergeCell ref="F149:F152"/>
    <mergeCell ref="G141:G144"/>
    <mergeCell ref="H141:H144"/>
    <mergeCell ref="A145:A148"/>
    <mergeCell ref="B145:B148"/>
    <mergeCell ref="C145:C148"/>
    <mergeCell ref="D145:D148"/>
    <mergeCell ref="E145:E148"/>
    <mergeCell ref="F145:F148"/>
    <mergeCell ref="G145:G148"/>
    <mergeCell ref="H145:H148"/>
    <mergeCell ref="A141:A144"/>
    <mergeCell ref="B141:B144"/>
    <mergeCell ref="C141:C144"/>
    <mergeCell ref="D141:D144"/>
    <mergeCell ref="E141:E144"/>
    <mergeCell ref="F141:F144"/>
    <mergeCell ref="G133:G136"/>
    <mergeCell ref="H133:H136"/>
    <mergeCell ref="A137:A140"/>
    <mergeCell ref="B137:B140"/>
    <mergeCell ref="C137:C140"/>
    <mergeCell ref="D137:D140"/>
    <mergeCell ref="E137:E140"/>
    <mergeCell ref="F137:F140"/>
    <mergeCell ref="G137:G140"/>
    <mergeCell ref="H137:H140"/>
    <mergeCell ref="A133:A136"/>
    <mergeCell ref="B133:B136"/>
    <mergeCell ref="C133:C136"/>
    <mergeCell ref="D133:D136"/>
    <mergeCell ref="E133:E136"/>
    <mergeCell ref="F133:F136"/>
    <mergeCell ref="G125:G128"/>
    <mergeCell ref="H125:H128"/>
    <mergeCell ref="A129:A132"/>
    <mergeCell ref="B129:B132"/>
    <mergeCell ref="C129:C132"/>
    <mergeCell ref="D129:D132"/>
    <mergeCell ref="E129:E132"/>
    <mergeCell ref="F129:F132"/>
    <mergeCell ref="G129:G132"/>
    <mergeCell ref="H129:H132"/>
    <mergeCell ref="A125:A128"/>
    <mergeCell ref="B125:B128"/>
    <mergeCell ref="C125:C128"/>
    <mergeCell ref="D125:D128"/>
    <mergeCell ref="E125:E128"/>
    <mergeCell ref="F125:F128"/>
    <mergeCell ref="G117:G120"/>
    <mergeCell ref="H117:H120"/>
    <mergeCell ref="A121:A124"/>
    <mergeCell ref="B121:B124"/>
    <mergeCell ref="C121:C124"/>
    <mergeCell ref="D121:D124"/>
    <mergeCell ref="E121:E124"/>
    <mergeCell ref="F121:F124"/>
    <mergeCell ref="G121:G124"/>
    <mergeCell ref="H121:H124"/>
    <mergeCell ref="A117:A120"/>
    <mergeCell ref="B117:B120"/>
    <mergeCell ref="C117:C120"/>
    <mergeCell ref="D117:D120"/>
    <mergeCell ref="E117:E120"/>
    <mergeCell ref="F117:F120"/>
    <mergeCell ref="G109:G112"/>
    <mergeCell ref="H109:H112"/>
    <mergeCell ref="A113:A116"/>
    <mergeCell ref="B113:B116"/>
    <mergeCell ref="C113:C116"/>
    <mergeCell ref="D113:D116"/>
    <mergeCell ref="E113:E116"/>
    <mergeCell ref="F113:F116"/>
    <mergeCell ref="G113:G116"/>
    <mergeCell ref="H113:H116"/>
    <mergeCell ref="A109:A112"/>
    <mergeCell ref="B109:B112"/>
    <mergeCell ref="C109:C112"/>
    <mergeCell ref="D109:D112"/>
    <mergeCell ref="E109:E112"/>
    <mergeCell ref="F109:F112"/>
    <mergeCell ref="A105:A108"/>
    <mergeCell ref="B105:B108"/>
    <mergeCell ref="C105:C108"/>
    <mergeCell ref="D105:D108"/>
    <mergeCell ref="E105:E108"/>
    <mergeCell ref="F105:F108"/>
    <mergeCell ref="G105:G108"/>
    <mergeCell ref="H105:H108"/>
    <mergeCell ref="A101:A104"/>
    <mergeCell ref="B101:B104"/>
    <mergeCell ref="C101:C104"/>
    <mergeCell ref="D101:D104"/>
    <mergeCell ref="E101:E104"/>
    <mergeCell ref="F101:F104"/>
    <mergeCell ref="A97:A100"/>
    <mergeCell ref="B97:B100"/>
    <mergeCell ref="C97:C100"/>
    <mergeCell ref="D97:D100"/>
    <mergeCell ref="E97:E100"/>
    <mergeCell ref="F97:F100"/>
    <mergeCell ref="G97:G100"/>
    <mergeCell ref="H97:H100"/>
    <mergeCell ref="G101:G104"/>
    <mergeCell ref="H101:H104"/>
    <mergeCell ref="A92:H92"/>
    <mergeCell ref="A93:A96"/>
    <mergeCell ref="B93:B96"/>
    <mergeCell ref="C93:C96"/>
    <mergeCell ref="D93:D96"/>
    <mergeCell ref="E93:E96"/>
    <mergeCell ref="F93:F96"/>
    <mergeCell ref="G93:G96"/>
    <mergeCell ref="H93:H96"/>
    <mergeCell ref="A85:B87"/>
    <mergeCell ref="C85:D87"/>
    <mergeCell ref="E85:F87"/>
    <mergeCell ref="G85:H87"/>
    <mergeCell ref="A89:A91"/>
    <mergeCell ref="B89:B91"/>
    <mergeCell ref="C89:C91"/>
    <mergeCell ref="D89:D91"/>
    <mergeCell ref="E89:E91"/>
    <mergeCell ref="F89:F91"/>
    <mergeCell ref="G89:G91"/>
    <mergeCell ref="H89:H91"/>
    <mergeCell ref="A82:B82"/>
    <mergeCell ref="C82:D82"/>
    <mergeCell ref="E82:F82"/>
    <mergeCell ref="G82:H82"/>
    <mergeCell ref="A83:B84"/>
    <mergeCell ref="C83:D84"/>
    <mergeCell ref="E83:F84"/>
    <mergeCell ref="G83:H84"/>
    <mergeCell ref="A40:B80"/>
    <mergeCell ref="C40:D80"/>
    <mergeCell ref="E40:F80"/>
    <mergeCell ref="G40:H80"/>
    <mergeCell ref="A81:B81"/>
    <mergeCell ref="C81:D81"/>
    <mergeCell ref="E81:F81"/>
    <mergeCell ref="G81:H81"/>
    <mergeCell ref="A29:B36"/>
    <mergeCell ref="C29:H36"/>
    <mergeCell ref="C38:D38"/>
    <mergeCell ref="E38:F38"/>
    <mergeCell ref="G38:H38"/>
    <mergeCell ref="A39:B39"/>
    <mergeCell ref="C39:D39"/>
    <mergeCell ref="E39:F39"/>
    <mergeCell ref="G39:H39"/>
    <mergeCell ref="A26:B26"/>
    <mergeCell ref="C26:H26"/>
    <mergeCell ref="A27:B27"/>
    <mergeCell ref="C27:H27"/>
    <mergeCell ref="A28:B28"/>
    <mergeCell ref="C28:H28"/>
    <mergeCell ref="A23:B23"/>
    <mergeCell ref="C23:H23"/>
    <mergeCell ref="A24:B24"/>
    <mergeCell ref="C24:H24"/>
    <mergeCell ref="A25:B25"/>
    <mergeCell ref="C25:H25"/>
    <mergeCell ref="A11:B14"/>
    <mergeCell ref="C11:H14"/>
    <mergeCell ref="A16:B21"/>
    <mergeCell ref="C16:H21"/>
    <mergeCell ref="A22:B22"/>
    <mergeCell ref="C22:H22"/>
    <mergeCell ref="A8:B8"/>
    <mergeCell ref="C8:H8"/>
    <mergeCell ref="A9:B9"/>
    <mergeCell ref="C9:H9"/>
    <mergeCell ref="A10:B10"/>
    <mergeCell ref="C10:H10"/>
  </mergeCells>
  <conditionalFormatting sqref="G289:H290">
    <cfRule type="containsText" dxfId="239" priority="7" operator="containsText" text="Yes">
      <formula>NOT(ISERROR(SEARCH("Yes",G289)))</formula>
    </cfRule>
    <cfRule type="containsText" dxfId="238" priority="8" operator="containsText" text="No">
      <formula>NOT(ISERROR(SEARCH("No",G289)))</formula>
    </cfRule>
    <cfRule type="containsText" dxfId="237" priority="9" operator="containsText" text="N/A">
      <formula>NOT(ISERROR(SEARCH("N/A",G289)))</formula>
    </cfRule>
  </conditionalFormatting>
  <conditionalFormatting sqref="G296:H297">
    <cfRule type="containsText" dxfId="236" priority="4" operator="containsText" text="Yes">
      <formula>NOT(ISERROR(SEARCH("Yes",G296)))</formula>
    </cfRule>
    <cfRule type="containsText" dxfId="235" priority="5" operator="containsText" text="No">
      <formula>NOT(ISERROR(SEARCH("No",G296)))</formula>
    </cfRule>
    <cfRule type="containsText" dxfId="234" priority="6" operator="containsText" text="N/A">
      <formula>NOT(ISERROR(SEARCH("N/A",G296)))</formula>
    </cfRule>
  </conditionalFormatting>
  <conditionalFormatting sqref="G303:H304">
    <cfRule type="containsText" dxfId="233" priority="1" operator="containsText" text="Yes">
      <formula>NOT(ISERROR(SEARCH("Yes",G303)))</formula>
    </cfRule>
    <cfRule type="containsText" dxfId="232" priority="2" operator="containsText" text="No">
      <formula>NOT(ISERROR(SEARCH("No",G303)))</formula>
    </cfRule>
    <cfRule type="containsText" dxfId="231" priority="3" operator="containsText" text="N/A">
      <formula>NOT(ISERROR(SEARCH("N/A",G303)))</formula>
    </cfRule>
  </conditionalFormatting>
  <pageMargins left="0.7" right="0.7" top="0.75" bottom="0.75" header="0.3" footer="0.3"/>
  <pageSetup scale="50" fitToHeight="0" orientation="landscape" r:id="rId1"/>
  <drawing r:id="rId2"/>
  <legacyDrawing r:id="rId3"/>
  <controls>
    <mc:AlternateContent xmlns:mc="http://schemas.openxmlformats.org/markup-compatibility/2006">
      <mc:Choice Requires="x14">
        <control shapeId="10241"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0241" r:id="rId4" name="backMenuBtn"/>
      </mc:Fallback>
    </mc:AlternateContent>
    <mc:AlternateContent xmlns:mc="http://schemas.openxmlformats.org/markup-compatibility/2006">
      <mc:Choice Requires="x14">
        <control shapeId="10242" r:id="rId6" name="CommandButton1">
          <controlPr defaultSize="0" autoLine="0" r:id="rId7">
            <anchor moveWithCells="1">
              <from>
                <xdr:col>1</xdr:col>
                <xdr:colOff>609600</xdr:colOff>
                <xdr:row>0</xdr:row>
                <xdr:rowOff>0</xdr:rowOff>
              </from>
              <to>
                <xdr:col>1</xdr:col>
                <xdr:colOff>1809750</xdr:colOff>
                <xdr:row>1</xdr:row>
                <xdr:rowOff>114300</xdr:rowOff>
              </to>
            </anchor>
          </controlPr>
        </control>
      </mc:Choice>
      <mc:Fallback>
        <control shapeId="10242" r:id="rId6" name="CommandButton1"/>
      </mc:Fallback>
    </mc:AlternateContent>
    <mc:AlternateContent xmlns:mc="http://schemas.openxmlformats.org/markup-compatibility/2006">
      <mc:Choice Requires="x14">
        <control shapeId="10243" r:id="rId8" name="CommandButton2">
          <controlPr defaultSize="0" autoLine="0" r:id="rId9">
            <anchor moveWithCells="1">
              <from>
                <xdr:col>0</xdr:col>
                <xdr:colOff>1314450</xdr:colOff>
                <xdr:row>0</xdr:row>
                <xdr:rowOff>9525</xdr:rowOff>
              </from>
              <to>
                <xdr:col>1</xdr:col>
                <xdr:colOff>476250</xdr:colOff>
                <xdr:row>1</xdr:row>
                <xdr:rowOff>123825</xdr:rowOff>
              </to>
            </anchor>
          </controlPr>
        </control>
      </mc:Choice>
      <mc:Fallback>
        <control shapeId="10243"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Dropdown!$I$2:$I$5</xm:f>
          </x14:formula1>
          <xm:sqref>G289:H290 G296:H297 G303:H304</xm:sqref>
        </x14:dataValidation>
        <x14:dataValidation type="list" allowBlank="1" showInputMessage="1" showErrorMessage="1">
          <x14:formula1>
            <xm:f>Dropdown!$H$2:$H$13</xm:f>
          </x14:formula1>
          <xm:sqref>C85:H87 C258:H258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pageSetUpPr fitToPage="1"/>
  </sheetPr>
  <dimension ref="A1:J129"/>
  <sheetViews>
    <sheetView showGridLines="0" zoomScale="85" zoomScaleNormal="85" zoomScalePageLayoutView="60" workbookViewId="0">
      <pane xSplit="3" ySplit="14" topLeftCell="D15" activePane="bottomRight" state="frozen"/>
      <selection activeCell="C156" sqref="C156"/>
      <selection pane="topRight" activeCell="C156" sqref="C156"/>
      <selection pane="bottomLeft" activeCell="C156" sqref="C156"/>
      <selection pane="bottomRight" activeCell="C156" sqref="C156"/>
    </sheetView>
  </sheetViews>
  <sheetFormatPr defaultColWidth="9.42578125" defaultRowHeight="12.75" customHeight="1" outlineLevelRow="1" x14ac:dyDescent="0.2"/>
  <cols>
    <col min="1" max="3" width="20.5703125" style="267" customWidth="1"/>
    <col min="4" max="9" width="30.5703125" style="267" customWidth="1"/>
    <col min="10" max="10" width="1.5703125" style="267" customWidth="1"/>
    <col min="11" max="16384" width="9.42578125" style="267"/>
  </cols>
  <sheetData>
    <row r="1" spans="1:9" ht="12.75" customHeight="1" x14ac:dyDescent="0.2">
      <c r="A1" s="267" t="s">
        <v>798</v>
      </c>
    </row>
    <row r="3" spans="1:9" ht="12.75" customHeight="1" outlineLevel="1" x14ac:dyDescent="0.2">
      <c r="A3" s="266" t="str">
        <f>Narrative!A3</f>
        <v>ViewRay</v>
      </c>
      <c r="B3" s="266"/>
    </row>
    <row r="4" spans="1:9" ht="12.75" customHeight="1" outlineLevel="1" x14ac:dyDescent="0.2">
      <c r="A4" s="268" t="s">
        <v>394</v>
      </c>
      <c r="B4" s="268"/>
    </row>
    <row r="5" spans="1:9" ht="12.75" customHeight="1" outlineLevel="1" x14ac:dyDescent="0.2">
      <c r="A5" s="266" t="str">
        <f>Narrative!A5</f>
        <v>Financial Close and Reporting (FCR)</v>
      </c>
      <c r="B5" s="266"/>
    </row>
    <row r="6" spans="1:9" ht="12.75" customHeight="1" outlineLevel="1" x14ac:dyDescent="0.2">
      <c r="A6" s="266" t="str">
        <f>Narrative!A6</f>
        <v>FY 2019</v>
      </c>
      <c r="B6" s="266"/>
    </row>
    <row r="7" spans="1:9" ht="12.75" customHeight="1" outlineLevel="1" x14ac:dyDescent="0.2">
      <c r="A7" s="269"/>
      <c r="B7" s="269"/>
      <c r="C7" s="269"/>
      <c r="D7" s="270"/>
      <c r="E7" s="270"/>
      <c r="F7" s="270"/>
      <c r="G7" s="270"/>
      <c r="H7" s="270"/>
      <c r="I7" s="271"/>
    </row>
    <row r="8" spans="1:9" ht="12.75" customHeight="1" x14ac:dyDescent="0.2">
      <c r="A8" s="473" t="s">
        <v>395</v>
      </c>
      <c r="B8" s="705"/>
      <c r="C8" s="474"/>
      <c r="D8" s="470" t="str">
        <f>RCM!A11</f>
        <v>FCR</v>
      </c>
      <c r="E8" s="471"/>
      <c r="F8" s="471"/>
      <c r="G8" s="471"/>
      <c r="H8" s="471"/>
      <c r="I8" s="472"/>
    </row>
    <row r="9" spans="1:9" ht="12.75" customHeight="1" x14ac:dyDescent="0.2">
      <c r="A9" s="466" t="s">
        <v>396</v>
      </c>
      <c r="B9" s="466"/>
      <c r="C9" s="475"/>
      <c r="D9" s="470" t="str">
        <f>VLOOKUP($D$10,RCM!J:X,4,0)</f>
        <v>Corporate Controller</v>
      </c>
      <c r="E9" s="471"/>
      <c r="F9" s="471"/>
      <c r="G9" s="471"/>
      <c r="H9" s="471"/>
      <c r="I9" s="472"/>
    </row>
    <row r="10" spans="1:9" ht="12.75" customHeight="1" x14ac:dyDescent="0.2">
      <c r="A10" s="459" t="s">
        <v>397</v>
      </c>
      <c r="B10" s="459"/>
      <c r="C10" s="476"/>
      <c r="D10" s="470" t="str">
        <f>RCM!J13</f>
        <v>FCR 2.09</v>
      </c>
      <c r="E10" s="471"/>
      <c r="F10" s="471"/>
      <c r="G10" s="471"/>
      <c r="H10" s="471"/>
      <c r="I10" s="472"/>
    </row>
    <row r="11" spans="1:9" ht="12.75" customHeight="1" x14ac:dyDescent="0.2">
      <c r="A11" s="459" t="s">
        <v>398</v>
      </c>
      <c r="B11" s="459"/>
      <c r="C11" s="459"/>
      <c r="D11" s="460" t="str">
        <f>VLOOKUP($D$10,RCM!J:X,2,0)</f>
        <v>At each month end, the Corporate Controller, who does not have access to post journal entries, reviews the QAD Journal Entry Listing to ensure that all journal entries were properly authorized and reviewed/approved by someone other than the preparer.  Effective May 2019, the Corporate Controller also reviews all users listed as creators general ledger entries for the period to ensure that the QAD administrators (superusers) have not processed any general ledger transactions.  The review is evidenced by sign off and date on the QAD Journal Entry Listing and screen shots of all creators of general ledger entries for the period.</v>
      </c>
      <c r="E11" s="461"/>
      <c r="F11" s="461"/>
      <c r="G11" s="461"/>
      <c r="H11" s="461"/>
      <c r="I11" s="462"/>
    </row>
    <row r="12" spans="1:9" ht="12.75" customHeight="1" x14ac:dyDescent="0.2">
      <c r="A12" s="459"/>
      <c r="B12" s="459"/>
      <c r="C12" s="459"/>
      <c r="D12" s="467"/>
      <c r="E12" s="468"/>
      <c r="F12" s="468"/>
      <c r="G12" s="468"/>
      <c r="H12" s="468"/>
      <c r="I12" s="469"/>
    </row>
    <row r="13" spans="1:9" ht="12.75" customHeight="1" x14ac:dyDescent="0.2">
      <c r="A13" s="459"/>
      <c r="B13" s="459"/>
      <c r="C13" s="459"/>
      <c r="D13" s="467"/>
      <c r="E13" s="468"/>
      <c r="F13" s="468"/>
      <c r="G13" s="468"/>
      <c r="H13" s="468"/>
      <c r="I13" s="469"/>
    </row>
    <row r="14" spans="1:9" ht="12.75" customHeight="1" x14ac:dyDescent="0.2">
      <c r="A14" s="459"/>
      <c r="B14" s="459"/>
      <c r="C14" s="459"/>
      <c r="D14" s="463" t="e">
        <v>#N/A</v>
      </c>
      <c r="E14" s="464"/>
      <c r="F14" s="464"/>
      <c r="G14" s="464"/>
      <c r="H14" s="464"/>
      <c r="I14" s="465"/>
    </row>
    <row r="15" spans="1:9" ht="12.75" customHeight="1" x14ac:dyDescent="0.2">
      <c r="A15" s="272"/>
      <c r="B15" s="272"/>
      <c r="C15" s="273"/>
      <c r="D15" s="274"/>
      <c r="E15" s="274"/>
      <c r="F15" s="274"/>
      <c r="G15" s="274"/>
      <c r="H15" s="274"/>
      <c r="I15" s="271"/>
    </row>
    <row r="16" spans="1:9" ht="12.75" customHeight="1" x14ac:dyDescent="0.2">
      <c r="A16" s="466" t="s">
        <v>399</v>
      </c>
      <c r="B16" s="466"/>
      <c r="C16" s="466"/>
      <c r="D16" s="460" t="str">
        <f>VLOOKUP($D$10,RCM!J:X,12,)</f>
        <v>1. Obtain the QAD JE Listing for the selected period
2. Verify that that no JEs were reviewed and approved by the same person
3. Verify the approvers are appropriate based on role.
4. Ascertain that there were no system admin creates of  system entries within QAD General Ledger Transaction Extended View
5. Confirm the Controller reviewed and approved both the JE listing and the system admin entries timely.</v>
      </c>
      <c r="E16" s="461"/>
      <c r="F16" s="461"/>
      <c r="G16" s="461"/>
      <c r="H16" s="461"/>
      <c r="I16" s="462"/>
    </row>
    <row r="17" spans="1:9" ht="12.75" customHeight="1" x14ac:dyDescent="0.2">
      <c r="A17" s="466"/>
      <c r="B17" s="466"/>
      <c r="C17" s="466"/>
      <c r="D17" s="467"/>
      <c r="E17" s="468"/>
      <c r="F17" s="468"/>
      <c r="G17" s="468"/>
      <c r="H17" s="468"/>
      <c r="I17" s="469"/>
    </row>
    <row r="18" spans="1:9" ht="12.75" customHeight="1" x14ac:dyDescent="0.2">
      <c r="A18" s="466"/>
      <c r="B18" s="466"/>
      <c r="C18" s="466"/>
      <c r="D18" s="467"/>
      <c r="E18" s="468"/>
      <c r="F18" s="468"/>
      <c r="G18" s="468"/>
      <c r="H18" s="468"/>
      <c r="I18" s="469"/>
    </row>
    <row r="19" spans="1:9" ht="12.75" customHeight="1" x14ac:dyDescent="0.2">
      <c r="A19" s="466"/>
      <c r="B19" s="466"/>
      <c r="C19" s="466"/>
      <c r="D19" s="467"/>
      <c r="E19" s="468"/>
      <c r="F19" s="468"/>
      <c r="G19" s="468"/>
      <c r="H19" s="468"/>
      <c r="I19" s="469"/>
    </row>
    <row r="20" spans="1:9" ht="12.75" customHeight="1" x14ac:dyDescent="0.2">
      <c r="A20" s="466"/>
      <c r="B20" s="466"/>
      <c r="C20" s="466"/>
      <c r="D20" s="467"/>
      <c r="E20" s="468"/>
      <c r="F20" s="468"/>
      <c r="G20" s="468"/>
      <c r="H20" s="468"/>
      <c r="I20" s="469"/>
    </row>
    <row r="21" spans="1:9" ht="12.75" customHeight="1" x14ac:dyDescent="0.2">
      <c r="A21" s="466"/>
      <c r="B21" s="466"/>
      <c r="C21" s="466"/>
      <c r="D21" s="463" t="e">
        <v>#N/A</v>
      </c>
      <c r="E21" s="464"/>
      <c r="F21" s="464"/>
      <c r="G21" s="464"/>
      <c r="H21" s="464"/>
      <c r="I21" s="465"/>
    </row>
    <row r="22" spans="1:9" ht="12.75" customHeight="1" x14ac:dyDescent="0.2">
      <c r="A22" s="466" t="s">
        <v>400</v>
      </c>
      <c r="B22" s="466"/>
      <c r="C22" s="466"/>
      <c r="D22" s="470" t="str">
        <f>VLOOKUP($D$10,RCM!J:X,8,0)</f>
        <v>Inspection</v>
      </c>
      <c r="E22" s="471"/>
      <c r="F22" s="471"/>
      <c r="G22" s="471"/>
      <c r="H22" s="471"/>
      <c r="I22" s="472"/>
    </row>
    <row r="23" spans="1:9" ht="12.75" customHeight="1" x14ac:dyDescent="0.2">
      <c r="A23" s="466" t="s">
        <v>401</v>
      </c>
      <c r="B23" s="466"/>
      <c r="C23" s="475"/>
      <c r="D23" s="470" t="str">
        <f>VLOOKUP($D$10,RCM!J:X,5,0)</f>
        <v>Monthly</v>
      </c>
      <c r="E23" s="471"/>
      <c r="F23" s="471"/>
      <c r="G23" s="471"/>
      <c r="H23" s="471"/>
      <c r="I23" s="472"/>
    </row>
    <row r="24" spans="1:9" ht="12.75" customHeight="1" x14ac:dyDescent="0.2">
      <c r="A24" s="466" t="s">
        <v>402</v>
      </c>
      <c r="B24" s="466"/>
      <c r="C24" s="475"/>
      <c r="D24" s="709">
        <f>VLOOKUP($D$10,RCM!J:X,3,0)</f>
        <v>43525</v>
      </c>
      <c r="E24" s="709"/>
      <c r="F24" s="709"/>
      <c r="G24" s="709"/>
      <c r="H24" s="709"/>
      <c r="I24" s="709"/>
    </row>
    <row r="25" spans="1:9" s="275" customFormat="1" ht="12.75" customHeight="1" x14ac:dyDescent="0.2">
      <c r="A25" s="466" t="s">
        <v>403</v>
      </c>
      <c r="B25" s="466"/>
      <c r="C25" s="475"/>
      <c r="D25" s="480" t="str">
        <f>VLOOKUP($D$10,RCM!J:X,10,0)</f>
        <v xml:space="preserve">Medium </v>
      </c>
      <c r="E25" s="481"/>
      <c r="F25" s="481"/>
      <c r="G25" s="481"/>
      <c r="H25" s="481"/>
      <c r="I25" s="482"/>
    </row>
    <row r="26" spans="1:9" ht="12.75" customHeight="1" x14ac:dyDescent="0.2">
      <c r="A26" s="466" t="s">
        <v>404</v>
      </c>
      <c r="B26" s="466"/>
      <c r="C26" s="475"/>
      <c r="D26" s="477" t="str">
        <f>RCM!$AB$3</f>
        <v>1/1/19 - 6/30/19</v>
      </c>
      <c r="E26" s="478"/>
      <c r="F26" s="478"/>
      <c r="G26" s="478"/>
      <c r="H26" s="478"/>
      <c r="I26" s="479"/>
    </row>
    <row r="27" spans="1:9" ht="12.75" customHeight="1" x14ac:dyDescent="0.2">
      <c r="A27" s="466" t="s">
        <v>405</v>
      </c>
      <c r="B27" s="466"/>
      <c r="C27" s="475"/>
      <c r="D27" s="706">
        <f>VLOOKUP(D$10,RCM!$J$9:$AG$18,20,0)</f>
        <v>12</v>
      </c>
      <c r="E27" s="707"/>
      <c r="F27" s="707"/>
      <c r="G27" s="707"/>
      <c r="H27" s="707"/>
      <c r="I27" s="708"/>
    </row>
    <row r="28" spans="1:9" ht="12.75" customHeight="1" x14ac:dyDescent="0.2">
      <c r="A28" s="466" t="s">
        <v>406</v>
      </c>
      <c r="B28" s="466"/>
      <c r="C28" s="475"/>
      <c r="D28" s="483" t="str">
        <f>RCM!$AB$5&amp;" "&amp;VLOOKUP(D$10,RCM!$J$9:$AG$29,21,0)&amp;" "&amp;RCM!$AB$6</f>
        <v>Annual sample size: 3 (See sample size derivation below)</v>
      </c>
      <c r="E28" s="484"/>
      <c r="F28" s="484"/>
      <c r="G28" s="484"/>
      <c r="H28" s="484"/>
      <c r="I28" s="485"/>
    </row>
    <row r="29" spans="1:9" ht="12.75" customHeight="1" x14ac:dyDescent="0.2">
      <c r="A29" s="489" t="s">
        <v>407</v>
      </c>
      <c r="B29" s="710"/>
      <c r="C29" s="490"/>
      <c r="D29" s="460" t="s">
        <v>533</v>
      </c>
      <c r="E29" s="461"/>
      <c r="F29" s="461"/>
      <c r="G29" s="461"/>
      <c r="H29" s="461"/>
      <c r="I29" s="462"/>
    </row>
    <row r="30" spans="1:9" s="275" customFormat="1" ht="12.75" customHeight="1" x14ac:dyDescent="0.2">
      <c r="A30" s="493"/>
      <c r="B30" s="711"/>
      <c r="C30" s="494"/>
      <c r="D30" s="463"/>
      <c r="E30" s="464"/>
      <c r="F30" s="464"/>
      <c r="G30" s="464"/>
      <c r="H30" s="464"/>
      <c r="I30" s="465"/>
    </row>
    <row r="31" spans="1:9" ht="12.75" customHeight="1" x14ac:dyDescent="0.2">
      <c r="A31" s="277"/>
      <c r="B31" s="277"/>
      <c r="C31" s="277"/>
      <c r="D31" s="278"/>
      <c r="E31" s="278"/>
      <c r="F31" s="278"/>
      <c r="G31" s="278"/>
      <c r="H31" s="278"/>
      <c r="I31" s="278"/>
    </row>
    <row r="32" spans="1:9" ht="12.75" customHeight="1" x14ac:dyDescent="0.2">
      <c r="A32" s="279"/>
      <c r="B32" s="279"/>
      <c r="C32" s="279"/>
      <c r="D32" s="506" t="s">
        <v>409</v>
      </c>
      <c r="E32" s="507"/>
      <c r="F32" s="506" t="s">
        <v>410</v>
      </c>
      <c r="G32" s="507"/>
      <c r="H32" s="506" t="s">
        <v>411</v>
      </c>
      <c r="I32" s="507"/>
    </row>
    <row r="33" spans="1:9" ht="12.75" customHeight="1" x14ac:dyDescent="0.2">
      <c r="A33" s="508" t="s">
        <v>412</v>
      </c>
      <c r="B33" s="508"/>
      <c r="C33" s="509"/>
      <c r="D33" s="510">
        <f>VLOOKUP($D$10,RCM!$J$9:$AG$29,22,0)</f>
        <v>2</v>
      </c>
      <c r="E33" s="712"/>
      <c r="F33" s="510">
        <f>VLOOKUP($D$10,RCM!$J$9:$AG$29,23,0)</f>
        <v>0</v>
      </c>
      <c r="G33" s="511"/>
      <c r="H33" s="510">
        <f>VLOOKUP($D$10,RCM!$J$9:$AG$29,24,0)</f>
        <v>1</v>
      </c>
      <c r="I33" s="511"/>
    </row>
    <row r="34" spans="1:9" ht="12.75" customHeight="1" outlineLevel="1" x14ac:dyDescent="0.2">
      <c r="A34" s="523" t="s">
        <v>413</v>
      </c>
      <c r="B34" s="524"/>
      <c r="C34" s="524"/>
      <c r="D34" s="529" t="s">
        <v>534</v>
      </c>
      <c r="E34" s="716"/>
      <c r="F34" s="721"/>
      <c r="G34" s="716"/>
      <c r="H34" s="722"/>
      <c r="I34" s="723"/>
    </row>
    <row r="35" spans="1:9" ht="12.75" customHeight="1" outlineLevel="1" x14ac:dyDescent="0.2">
      <c r="A35" s="525"/>
      <c r="B35" s="526"/>
      <c r="C35" s="526"/>
      <c r="D35" s="717"/>
      <c r="E35" s="718"/>
      <c r="F35" s="717"/>
      <c r="G35" s="718"/>
      <c r="H35" s="724"/>
      <c r="I35" s="725"/>
    </row>
    <row r="36" spans="1:9" ht="12.75" customHeight="1" outlineLevel="1" x14ac:dyDescent="0.2">
      <c r="A36" s="525"/>
      <c r="B36" s="526"/>
      <c r="C36" s="526"/>
      <c r="D36" s="717"/>
      <c r="E36" s="718"/>
      <c r="F36" s="717"/>
      <c r="G36" s="718"/>
      <c r="H36" s="724"/>
      <c r="I36" s="725"/>
    </row>
    <row r="37" spans="1:9" ht="12.75" customHeight="1" outlineLevel="1" x14ac:dyDescent="0.2">
      <c r="A37" s="525"/>
      <c r="B37" s="526"/>
      <c r="C37" s="526"/>
      <c r="D37" s="717"/>
      <c r="E37" s="718"/>
      <c r="F37" s="717"/>
      <c r="G37" s="718"/>
      <c r="H37" s="724"/>
      <c r="I37" s="725"/>
    </row>
    <row r="38" spans="1:9" ht="12.75" customHeight="1" outlineLevel="1" x14ac:dyDescent="0.2">
      <c r="A38" s="525"/>
      <c r="B38" s="526"/>
      <c r="C38" s="526"/>
      <c r="D38" s="717"/>
      <c r="E38" s="718"/>
      <c r="F38" s="717"/>
      <c r="G38" s="718"/>
      <c r="H38" s="724"/>
      <c r="I38" s="725"/>
    </row>
    <row r="39" spans="1:9" ht="12.75" customHeight="1" outlineLevel="1" x14ac:dyDescent="0.2">
      <c r="A39" s="525"/>
      <c r="B39" s="526"/>
      <c r="C39" s="526"/>
      <c r="D39" s="717"/>
      <c r="E39" s="718"/>
      <c r="F39" s="717"/>
      <c r="G39" s="718"/>
      <c r="H39" s="724"/>
      <c r="I39" s="725"/>
    </row>
    <row r="40" spans="1:9" ht="12.75" customHeight="1" outlineLevel="1" x14ac:dyDescent="0.2">
      <c r="A40" s="525"/>
      <c r="B40" s="526"/>
      <c r="C40" s="526"/>
      <c r="D40" s="717"/>
      <c r="E40" s="718"/>
      <c r="F40" s="717"/>
      <c r="G40" s="718"/>
      <c r="H40" s="724"/>
      <c r="I40" s="725"/>
    </row>
    <row r="41" spans="1:9" ht="12.75" customHeight="1" outlineLevel="1" x14ac:dyDescent="0.2">
      <c r="A41" s="525"/>
      <c r="B41" s="526"/>
      <c r="C41" s="526"/>
      <c r="D41" s="717"/>
      <c r="E41" s="718"/>
      <c r="F41" s="717"/>
      <c r="G41" s="718"/>
      <c r="H41" s="724"/>
      <c r="I41" s="725"/>
    </row>
    <row r="42" spans="1:9" ht="12.75" customHeight="1" outlineLevel="1" x14ac:dyDescent="0.2">
      <c r="A42" s="525"/>
      <c r="B42" s="526"/>
      <c r="C42" s="526"/>
      <c r="D42" s="717"/>
      <c r="E42" s="718"/>
      <c r="F42" s="717"/>
      <c r="G42" s="718"/>
      <c r="H42" s="724"/>
      <c r="I42" s="725"/>
    </row>
    <row r="43" spans="1:9" ht="12.75" customHeight="1" outlineLevel="1" x14ac:dyDescent="0.2">
      <c r="A43" s="525"/>
      <c r="B43" s="526"/>
      <c r="C43" s="526"/>
      <c r="D43" s="717"/>
      <c r="E43" s="718"/>
      <c r="F43" s="717"/>
      <c r="G43" s="718"/>
      <c r="H43" s="724"/>
      <c r="I43" s="725"/>
    </row>
    <row r="44" spans="1:9" ht="12.75" customHeight="1" outlineLevel="1" x14ac:dyDescent="0.2">
      <c r="A44" s="525"/>
      <c r="B44" s="526"/>
      <c r="C44" s="526"/>
      <c r="D44" s="717"/>
      <c r="E44" s="718"/>
      <c r="F44" s="717"/>
      <c r="G44" s="718"/>
      <c r="H44" s="724"/>
      <c r="I44" s="725"/>
    </row>
    <row r="45" spans="1:9" ht="12.75" customHeight="1" outlineLevel="1" x14ac:dyDescent="0.2">
      <c r="A45" s="525"/>
      <c r="B45" s="526"/>
      <c r="C45" s="526"/>
      <c r="D45" s="717"/>
      <c r="E45" s="718"/>
      <c r="F45" s="717"/>
      <c r="G45" s="718"/>
      <c r="H45" s="724"/>
      <c r="I45" s="725"/>
    </row>
    <row r="46" spans="1:9" ht="12.75" customHeight="1" outlineLevel="1" x14ac:dyDescent="0.2">
      <c r="A46" s="527"/>
      <c r="B46" s="528"/>
      <c r="C46" s="528"/>
      <c r="D46" s="719"/>
      <c r="E46" s="720"/>
      <c r="F46" s="719"/>
      <c r="G46" s="720"/>
      <c r="H46" s="726"/>
      <c r="I46" s="727"/>
    </row>
    <row r="47" spans="1:9" ht="12.75" customHeight="1" x14ac:dyDescent="0.2">
      <c r="A47" s="512" t="s">
        <v>415</v>
      </c>
      <c r="B47" s="713"/>
      <c r="C47" s="513"/>
      <c r="D47" s="728" t="s">
        <v>416</v>
      </c>
      <c r="E47" s="729"/>
      <c r="F47" s="540"/>
      <c r="G47" s="541"/>
      <c r="H47" s="728"/>
      <c r="I47" s="729"/>
    </row>
    <row r="48" spans="1:9" ht="12.75" customHeight="1" x14ac:dyDescent="0.2">
      <c r="A48" s="512" t="s">
        <v>417</v>
      </c>
      <c r="B48" s="713"/>
      <c r="C48" s="513"/>
      <c r="D48" s="714">
        <v>43639</v>
      </c>
      <c r="E48" s="715"/>
      <c r="F48" s="514"/>
      <c r="G48" s="581"/>
      <c r="H48" s="714"/>
      <c r="I48" s="715"/>
    </row>
    <row r="49" spans="1:10" ht="12.75" customHeight="1" x14ac:dyDescent="0.2">
      <c r="A49" s="508" t="s">
        <v>418</v>
      </c>
      <c r="B49" s="508"/>
      <c r="C49" s="508"/>
      <c r="D49" s="515" t="str">
        <f>VLOOKUP(D$10,'WT (WT)'!$A$8:$K$24,11,0)</f>
        <v>Effective</v>
      </c>
      <c r="E49" s="516"/>
      <c r="F49" s="515"/>
      <c r="G49" s="516"/>
      <c r="H49" s="519"/>
      <c r="I49" s="520"/>
    </row>
    <row r="50" spans="1:10" ht="12.75" customHeight="1" x14ac:dyDescent="0.2">
      <c r="A50" s="508"/>
      <c r="B50" s="508"/>
      <c r="C50" s="508"/>
      <c r="D50" s="517"/>
      <c r="E50" s="518"/>
      <c r="F50" s="517"/>
      <c r="G50" s="518"/>
      <c r="H50" s="521"/>
      <c r="I50" s="522"/>
    </row>
    <row r="51" spans="1:10" ht="12.75" customHeight="1" x14ac:dyDescent="0.2">
      <c r="A51" s="508" t="s">
        <v>419</v>
      </c>
      <c r="B51" s="508"/>
      <c r="C51" s="508"/>
      <c r="D51" s="519" t="s">
        <v>330</v>
      </c>
      <c r="E51" s="520"/>
      <c r="F51" s="519"/>
      <c r="G51" s="520"/>
      <c r="H51" s="519"/>
      <c r="I51" s="520"/>
    </row>
    <row r="52" spans="1:10" ht="12.75" customHeight="1" x14ac:dyDescent="0.2">
      <c r="A52" s="508"/>
      <c r="B52" s="508"/>
      <c r="C52" s="508"/>
      <c r="D52" s="542"/>
      <c r="E52" s="543"/>
      <c r="F52" s="542"/>
      <c r="G52" s="543"/>
      <c r="H52" s="542"/>
      <c r="I52" s="543"/>
    </row>
    <row r="53" spans="1:10" ht="12.75" customHeight="1" x14ac:dyDescent="0.2">
      <c r="A53" s="508"/>
      <c r="B53" s="508"/>
      <c r="C53" s="508"/>
      <c r="D53" s="521"/>
      <c r="E53" s="522"/>
      <c r="F53" s="521"/>
      <c r="G53" s="522"/>
      <c r="H53" s="521"/>
      <c r="I53" s="522"/>
    </row>
    <row r="54" spans="1:10" ht="12.75" customHeight="1" x14ac:dyDescent="0.2">
      <c r="A54" s="280"/>
      <c r="B54" s="280"/>
      <c r="C54" s="280"/>
      <c r="D54" s="271"/>
      <c r="E54" s="271"/>
      <c r="F54" s="271"/>
      <c r="G54" s="271"/>
      <c r="H54" s="281"/>
      <c r="I54" s="271"/>
      <c r="J54" s="271"/>
    </row>
    <row r="55" spans="1:10" ht="12.75" customHeight="1" x14ac:dyDescent="0.2">
      <c r="A55" s="544" t="s">
        <v>420</v>
      </c>
      <c r="B55" s="544" t="s">
        <v>535</v>
      </c>
      <c r="C55" s="544" t="s">
        <v>536</v>
      </c>
      <c r="D55" s="544" t="s">
        <v>537</v>
      </c>
      <c r="E55" s="544" t="s">
        <v>538</v>
      </c>
      <c r="F55" s="730" t="s">
        <v>539</v>
      </c>
      <c r="G55" s="544" t="s">
        <v>540</v>
      </c>
      <c r="H55" s="544" t="s">
        <v>541</v>
      </c>
      <c r="I55" s="544" t="s">
        <v>542</v>
      </c>
      <c r="J55" s="271"/>
    </row>
    <row r="56" spans="1:10" ht="12.75" customHeight="1" x14ac:dyDescent="0.2">
      <c r="A56" s="544"/>
      <c r="B56" s="544"/>
      <c r="C56" s="544"/>
      <c r="D56" s="544"/>
      <c r="E56" s="544"/>
      <c r="F56" s="731"/>
      <c r="G56" s="544"/>
      <c r="H56" s="544"/>
      <c r="I56" s="544"/>
      <c r="J56" s="271"/>
    </row>
    <row r="57" spans="1:10" ht="12.75" customHeight="1" x14ac:dyDescent="0.2">
      <c r="A57" s="544"/>
      <c r="B57" s="544"/>
      <c r="C57" s="544"/>
      <c r="D57" s="544"/>
      <c r="E57" s="544"/>
      <c r="F57" s="731"/>
      <c r="G57" s="544"/>
      <c r="H57" s="544"/>
      <c r="I57" s="544"/>
      <c r="J57" s="271"/>
    </row>
    <row r="58" spans="1:10" ht="12.75" customHeight="1" x14ac:dyDescent="0.2">
      <c r="A58" s="544"/>
      <c r="B58" s="544"/>
      <c r="C58" s="544"/>
      <c r="D58" s="544"/>
      <c r="E58" s="544"/>
      <c r="F58" s="732"/>
      <c r="G58" s="544"/>
      <c r="H58" s="544"/>
      <c r="I58" s="544"/>
      <c r="J58" s="271"/>
    </row>
    <row r="59" spans="1:10" ht="12.75" customHeight="1" x14ac:dyDescent="0.2">
      <c r="A59" s="545" t="s">
        <v>428</v>
      </c>
      <c r="B59" s="546"/>
      <c r="C59" s="546"/>
      <c r="D59" s="547"/>
      <c r="E59" s="547"/>
      <c r="F59" s="547"/>
      <c r="G59" s="547"/>
      <c r="H59" s="547"/>
      <c r="I59" s="548"/>
      <c r="J59" s="271"/>
    </row>
    <row r="60" spans="1:10" ht="12.75" customHeight="1" outlineLevel="1" x14ac:dyDescent="0.2">
      <c r="A60" s="646">
        <v>1</v>
      </c>
      <c r="B60" s="733">
        <v>43525</v>
      </c>
      <c r="C60" s="734" t="s">
        <v>279</v>
      </c>
      <c r="D60" s="646" t="s">
        <v>279</v>
      </c>
      <c r="E60" s="656" t="s">
        <v>543</v>
      </c>
      <c r="F60" s="656" t="s">
        <v>543</v>
      </c>
      <c r="G60" s="656" t="s">
        <v>544</v>
      </c>
      <c r="H60" s="656" t="s">
        <v>545</v>
      </c>
      <c r="I60" s="658" t="s">
        <v>432</v>
      </c>
      <c r="J60" s="271"/>
    </row>
    <row r="61" spans="1:10" ht="12.75" customHeight="1" outlineLevel="1" x14ac:dyDescent="0.2">
      <c r="A61" s="647"/>
      <c r="B61" s="657"/>
      <c r="C61" s="735"/>
      <c r="D61" s="647"/>
      <c r="E61" s="657"/>
      <c r="F61" s="657"/>
      <c r="G61" s="647"/>
      <c r="H61" s="647"/>
      <c r="I61" s="659"/>
      <c r="J61" s="271"/>
    </row>
    <row r="62" spans="1:10" ht="12.75" customHeight="1" outlineLevel="1" x14ac:dyDescent="0.2">
      <c r="A62" s="670"/>
      <c r="B62" s="687"/>
      <c r="C62" s="736"/>
      <c r="D62" s="670"/>
      <c r="E62" s="687"/>
      <c r="F62" s="687"/>
      <c r="G62" s="670"/>
      <c r="H62" s="670"/>
      <c r="I62" s="737"/>
      <c r="J62" s="271"/>
    </row>
    <row r="63" spans="1:10" ht="12.75" customHeight="1" outlineLevel="1" x14ac:dyDescent="0.2">
      <c r="A63" s="646">
        <v>2</v>
      </c>
      <c r="B63" s="733">
        <v>43617</v>
      </c>
      <c r="C63" s="733" t="s">
        <v>279</v>
      </c>
      <c r="D63" s="734" t="s">
        <v>279</v>
      </c>
      <c r="E63" s="646" t="s">
        <v>279</v>
      </c>
      <c r="F63" s="656" t="s">
        <v>281</v>
      </c>
      <c r="G63" s="656" t="s">
        <v>546</v>
      </c>
      <c r="H63" s="656" t="s">
        <v>545</v>
      </c>
      <c r="I63" s="738" t="s">
        <v>445</v>
      </c>
      <c r="J63" s="271"/>
    </row>
    <row r="64" spans="1:10" ht="12.75" customHeight="1" outlineLevel="1" x14ac:dyDescent="0.2">
      <c r="A64" s="647"/>
      <c r="B64" s="657"/>
      <c r="C64" s="657"/>
      <c r="D64" s="735"/>
      <c r="E64" s="647"/>
      <c r="F64" s="647"/>
      <c r="G64" s="647"/>
      <c r="H64" s="647"/>
      <c r="I64" s="739"/>
      <c r="J64" s="271"/>
    </row>
    <row r="65" spans="1:10" ht="12.75" customHeight="1" outlineLevel="1" x14ac:dyDescent="0.2">
      <c r="A65" s="670"/>
      <c r="B65" s="687"/>
      <c r="C65" s="687"/>
      <c r="D65" s="736"/>
      <c r="E65" s="670"/>
      <c r="F65" s="670"/>
      <c r="G65" s="670"/>
      <c r="H65" s="670"/>
      <c r="I65" s="740"/>
      <c r="J65" s="271"/>
    </row>
    <row r="66" spans="1:10" ht="12.75" customHeight="1" x14ac:dyDescent="0.2">
      <c r="A66" s="545" t="s">
        <v>410</v>
      </c>
      <c r="B66" s="546"/>
      <c r="C66" s="546"/>
      <c r="D66" s="547"/>
      <c r="E66" s="547"/>
      <c r="F66" s="547"/>
      <c r="G66" s="547"/>
      <c r="H66" s="547"/>
      <c r="I66" s="548"/>
      <c r="J66" s="271"/>
    </row>
    <row r="67" spans="1:10" s="286" customFormat="1" ht="12.75" customHeight="1" outlineLevel="1" x14ac:dyDescent="0.25">
      <c r="A67" s="549"/>
      <c r="B67" s="289"/>
      <c r="C67" s="741"/>
      <c r="D67" s="734"/>
      <c r="E67" s="552"/>
      <c r="F67" s="552"/>
      <c r="G67" s="656"/>
      <c r="H67" s="656"/>
      <c r="I67" s="554"/>
    </row>
    <row r="68" spans="1:10" s="286" customFormat="1" ht="12.75" customHeight="1" outlineLevel="1" x14ac:dyDescent="0.25">
      <c r="A68" s="549"/>
      <c r="B68" s="290"/>
      <c r="C68" s="742"/>
      <c r="D68" s="735"/>
      <c r="E68" s="552"/>
      <c r="F68" s="552"/>
      <c r="G68" s="647"/>
      <c r="H68" s="647"/>
      <c r="I68" s="552"/>
    </row>
    <row r="69" spans="1:10" s="286" customFormat="1" ht="12.75" customHeight="1" outlineLevel="1" x14ac:dyDescent="0.25">
      <c r="A69" s="549"/>
      <c r="B69" s="290"/>
      <c r="C69" s="742"/>
      <c r="D69" s="735"/>
      <c r="E69" s="552"/>
      <c r="F69" s="552"/>
      <c r="G69" s="647"/>
      <c r="H69" s="647"/>
      <c r="I69" s="552"/>
    </row>
    <row r="70" spans="1:10" s="286" customFormat="1" ht="12.75" customHeight="1" outlineLevel="1" x14ac:dyDescent="0.25">
      <c r="A70" s="549"/>
      <c r="B70" s="291"/>
      <c r="C70" s="743"/>
      <c r="D70" s="736"/>
      <c r="E70" s="552"/>
      <c r="F70" s="552"/>
      <c r="G70" s="670"/>
      <c r="H70" s="670"/>
      <c r="I70" s="552"/>
    </row>
    <row r="71" spans="1:10" ht="12.75" customHeight="1" x14ac:dyDescent="0.2">
      <c r="A71" s="744" t="s">
        <v>437</v>
      </c>
      <c r="B71" s="744"/>
      <c r="C71" s="744"/>
      <c r="D71" s="744"/>
      <c r="E71" s="744"/>
      <c r="F71" s="744"/>
      <c r="G71" s="744"/>
      <c r="H71" s="744"/>
      <c r="I71" s="744"/>
    </row>
    <row r="72" spans="1:10" ht="12.75" customHeight="1" outlineLevel="1" x14ac:dyDescent="0.2">
      <c r="A72" s="549">
        <v>3</v>
      </c>
      <c r="B72" s="733"/>
      <c r="C72" s="692"/>
      <c r="D72" s="745"/>
      <c r="E72" s="552"/>
      <c r="F72" s="552"/>
      <c r="G72" s="656"/>
      <c r="H72" s="656"/>
      <c r="I72" s="751"/>
    </row>
    <row r="73" spans="1:10" ht="12.75" customHeight="1" outlineLevel="1" x14ac:dyDescent="0.2">
      <c r="A73" s="549"/>
      <c r="B73" s="657"/>
      <c r="C73" s="692"/>
      <c r="D73" s="746"/>
      <c r="E73" s="552"/>
      <c r="F73" s="552"/>
      <c r="G73" s="647"/>
      <c r="H73" s="647"/>
      <c r="I73" s="751"/>
    </row>
    <row r="74" spans="1:10" ht="12.75" customHeight="1" outlineLevel="1" x14ac:dyDescent="0.2">
      <c r="A74" s="549"/>
      <c r="B74" s="687"/>
      <c r="C74" s="692"/>
      <c r="D74" s="746"/>
      <c r="E74" s="552"/>
      <c r="F74" s="552"/>
      <c r="G74" s="647"/>
      <c r="H74" s="647"/>
      <c r="I74" s="751"/>
    </row>
    <row r="75" spans="1:10" ht="12.75" customHeight="1" outlineLevel="1" x14ac:dyDescent="0.2">
      <c r="A75" s="549"/>
      <c r="B75" s="292"/>
      <c r="C75" s="692"/>
      <c r="D75" s="747"/>
      <c r="E75" s="552"/>
      <c r="F75" s="552"/>
      <c r="G75" s="670"/>
      <c r="H75" s="670"/>
      <c r="I75" s="751"/>
    </row>
    <row r="76" spans="1:10" ht="12.75" customHeight="1" x14ac:dyDescent="0.2">
      <c r="A76" s="270"/>
      <c r="B76" s="270"/>
      <c r="C76" s="270"/>
      <c r="D76" s="293"/>
      <c r="E76" s="270"/>
      <c r="F76" s="270"/>
      <c r="G76" s="270"/>
      <c r="H76" s="270"/>
    </row>
    <row r="77" spans="1:10" ht="12.75" customHeight="1" x14ac:dyDescent="0.2">
      <c r="A77" s="282"/>
      <c r="B77" s="282"/>
      <c r="C77" s="282"/>
      <c r="D77" s="506" t="s">
        <v>409</v>
      </c>
      <c r="E77" s="507"/>
      <c r="F77" s="506" t="s">
        <v>436</v>
      </c>
      <c r="G77" s="507"/>
      <c r="H77" s="752" t="s">
        <v>437</v>
      </c>
      <c r="I77" s="753"/>
    </row>
    <row r="78" spans="1:10" ht="12.75" customHeight="1" x14ac:dyDescent="0.2">
      <c r="A78" s="512" t="s">
        <v>438</v>
      </c>
      <c r="B78" s="713"/>
      <c r="C78" s="556"/>
      <c r="D78" s="557" t="s">
        <v>547</v>
      </c>
      <c r="E78" s="558"/>
      <c r="F78" s="748"/>
      <c r="G78" s="749"/>
      <c r="H78" s="748"/>
      <c r="I78" s="750"/>
    </row>
    <row r="79" spans="1:10" ht="12.75" customHeight="1" x14ac:dyDescent="0.2">
      <c r="A79" s="512" t="s">
        <v>440</v>
      </c>
      <c r="B79" s="713"/>
      <c r="C79" s="556"/>
      <c r="D79" s="514" t="s">
        <v>548</v>
      </c>
      <c r="E79" s="581"/>
      <c r="F79" s="748"/>
      <c r="G79" s="749"/>
      <c r="H79" s="748"/>
      <c r="I79" s="750"/>
    </row>
    <row r="80" spans="1:10" ht="12.75" customHeight="1" x14ac:dyDescent="0.2">
      <c r="A80" s="512" t="s">
        <v>441</v>
      </c>
      <c r="B80" s="713"/>
      <c r="C80" s="556"/>
      <c r="D80" s="582" t="s">
        <v>330</v>
      </c>
      <c r="E80" s="583"/>
      <c r="F80" s="557" t="s">
        <v>392</v>
      </c>
      <c r="G80" s="558"/>
      <c r="H80" s="557" t="s">
        <v>392</v>
      </c>
      <c r="I80" s="558"/>
    </row>
    <row r="81" spans="1:9" ht="12.75" customHeight="1" x14ac:dyDescent="0.2">
      <c r="A81" s="270"/>
      <c r="B81" s="270"/>
      <c r="C81" s="270"/>
      <c r="D81" s="270"/>
      <c r="E81" s="270"/>
      <c r="F81" s="270"/>
      <c r="G81" s="270"/>
      <c r="H81" s="270"/>
      <c r="I81" s="270"/>
    </row>
    <row r="82" spans="1:9" ht="12.75" customHeight="1" x14ac:dyDescent="0.2">
      <c r="A82" s="561" t="s">
        <v>442</v>
      </c>
      <c r="B82" s="763"/>
      <c r="C82" s="562"/>
      <c r="D82" s="270"/>
      <c r="E82" s="270"/>
      <c r="F82" s="270"/>
      <c r="G82" s="270"/>
      <c r="H82" s="270"/>
    </row>
    <row r="83" spans="1:9" ht="12.75" customHeight="1" x14ac:dyDescent="0.2">
      <c r="A83" s="764" t="s">
        <v>279</v>
      </c>
      <c r="B83" s="764"/>
      <c r="C83" s="764"/>
      <c r="D83" s="755" t="s">
        <v>443</v>
      </c>
      <c r="E83" s="755"/>
      <c r="F83" s="755"/>
      <c r="G83" s="755"/>
      <c r="H83" s="755"/>
      <c r="I83" s="755"/>
    </row>
    <row r="84" spans="1:9" ht="12.75" customHeight="1" x14ac:dyDescent="0.2">
      <c r="A84" s="764"/>
      <c r="B84" s="764"/>
      <c r="C84" s="764"/>
      <c r="D84" s="755"/>
      <c r="E84" s="755"/>
      <c r="F84" s="755"/>
      <c r="G84" s="755"/>
      <c r="H84" s="755"/>
      <c r="I84" s="755"/>
    </row>
    <row r="85" spans="1:9" ht="12.75" customHeight="1" x14ac:dyDescent="0.2">
      <c r="A85" s="754" t="s">
        <v>432</v>
      </c>
      <c r="B85" s="754"/>
      <c r="C85" s="754"/>
      <c r="D85" s="755" t="s">
        <v>444</v>
      </c>
      <c r="E85" s="755"/>
      <c r="F85" s="755"/>
      <c r="G85" s="755"/>
      <c r="H85" s="755"/>
      <c r="I85" s="755"/>
    </row>
    <row r="86" spans="1:9" ht="12.75" customHeight="1" x14ac:dyDescent="0.2">
      <c r="A86" s="754"/>
      <c r="B86" s="754"/>
      <c r="C86" s="754"/>
      <c r="D86" s="755"/>
      <c r="E86" s="755"/>
      <c r="F86" s="755"/>
      <c r="G86" s="755"/>
      <c r="H86" s="755"/>
      <c r="I86" s="755"/>
    </row>
    <row r="87" spans="1:9" ht="12.75" customHeight="1" x14ac:dyDescent="0.2">
      <c r="A87" s="756" t="s">
        <v>445</v>
      </c>
      <c r="B87" s="756"/>
      <c r="C87" s="756"/>
      <c r="D87" s="755" t="s">
        <v>549</v>
      </c>
      <c r="E87" s="755"/>
      <c r="F87" s="755"/>
      <c r="G87" s="755"/>
      <c r="H87" s="755"/>
      <c r="I87" s="755"/>
    </row>
    <row r="88" spans="1:9" ht="12.75" customHeight="1" x14ac:dyDescent="0.2">
      <c r="A88" s="756"/>
      <c r="B88" s="756"/>
      <c r="C88" s="756"/>
      <c r="D88" s="755"/>
      <c r="E88" s="755"/>
      <c r="F88" s="755"/>
      <c r="G88" s="755"/>
      <c r="H88" s="755"/>
      <c r="I88" s="755"/>
    </row>
    <row r="89" spans="1:9" ht="12.75" customHeight="1" x14ac:dyDescent="0.2">
      <c r="A89" s="756" t="s">
        <v>447</v>
      </c>
      <c r="B89" s="756"/>
      <c r="C89" s="756"/>
      <c r="D89" s="757" t="s">
        <v>550</v>
      </c>
      <c r="E89" s="758"/>
      <c r="F89" s="758"/>
      <c r="G89" s="758"/>
      <c r="H89" s="758"/>
      <c r="I89" s="759"/>
    </row>
    <row r="90" spans="1:9" ht="12.75" customHeight="1" x14ac:dyDescent="0.2">
      <c r="A90" s="756"/>
      <c r="B90" s="756"/>
      <c r="C90" s="756"/>
      <c r="D90" s="760"/>
      <c r="E90" s="761"/>
      <c r="F90" s="761"/>
      <c r="G90" s="761"/>
      <c r="H90" s="761"/>
      <c r="I90" s="762"/>
    </row>
    <row r="92" spans="1:9" ht="12.75" customHeight="1" x14ac:dyDescent="0.2">
      <c r="A92" s="595" t="s">
        <v>370</v>
      </c>
      <c r="B92" s="596"/>
      <c r="C92" s="596"/>
      <c r="D92" s="596"/>
      <c r="E92" s="596"/>
      <c r="F92" s="596"/>
      <c r="G92" s="596"/>
      <c r="H92" s="596"/>
      <c r="I92" s="597"/>
    </row>
    <row r="93" spans="1:9" ht="12.75" customHeight="1" x14ac:dyDescent="0.2">
      <c r="A93" s="294" t="s">
        <v>449</v>
      </c>
      <c r="B93" s="294" t="s">
        <v>450</v>
      </c>
      <c r="C93" s="294" t="s">
        <v>451</v>
      </c>
      <c r="D93" s="595" t="s">
        <v>452</v>
      </c>
      <c r="E93" s="596"/>
      <c r="F93" s="596"/>
      <c r="G93" s="596"/>
      <c r="H93" s="596"/>
      <c r="I93" s="597"/>
    </row>
    <row r="94" spans="1:9" ht="12.75" customHeight="1" x14ac:dyDescent="0.2">
      <c r="A94" s="598" t="s">
        <v>551</v>
      </c>
      <c r="B94" s="598" t="s">
        <v>454</v>
      </c>
      <c r="C94" s="598" t="s">
        <v>122</v>
      </c>
      <c r="D94" s="602" t="s">
        <v>456</v>
      </c>
      <c r="E94" s="606" t="s">
        <v>457</v>
      </c>
      <c r="F94" s="607"/>
      <c r="G94" s="765"/>
      <c r="H94" s="766"/>
      <c r="I94" s="767"/>
    </row>
    <row r="95" spans="1:9" ht="12.75" customHeight="1" x14ac:dyDescent="0.2">
      <c r="A95" s="599"/>
      <c r="B95" s="599"/>
      <c r="C95" s="599"/>
      <c r="D95" s="602"/>
      <c r="E95" s="606"/>
      <c r="F95" s="607"/>
      <c r="G95" s="768"/>
      <c r="H95" s="769"/>
      <c r="I95" s="770"/>
    </row>
    <row r="96" spans="1:9" ht="12.75" customHeight="1" x14ac:dyDescent="0.2">
      <c r="A96" s="599"/>
      <c r="B96" s="599"/>
      <c r="C96" s="599"/>
      <c r="D96" s="602"/>
      <c r="E96" s="606"/>
      <c r="F96" s="607"/>
      <c r="G96" s="768"/>
      <c r="H96" s="769"/>
      <c r="I96" s="770"/>
    </row>
    <row r="97" spans="1:9" ht="12.75" customHeight="1" x14ac:dyDescent="0.2">
      <c r="A97" s="599"/>
      <c r="B97" s="599"/>
      <c r="C97" s="599"/>
      <c r="D97" s="602"/>
      <c r="E97" s="606"/>
      <c r="F97" s="607"/>
      <c r="G97" s="768"/>
      <c r="H97" s="769"/>
      <c r="I97" s="770"/>
    </row>
    <row r="98" spans="1:9" ht="12.75" customHeight="1" x14ac:dyDescent="0.2">
      <c r="A98" s="599"/>
      <c r="B98" s="599"/>
      <c r="C98" s="599"/>
      <c r="D98" s="603"/>
      <c r="E98" s="608"/>
      <c r="F98" s="609"/>
      <c r="G98" s="771"/>
      <c r="H98" s="772"/>
      <c r="I98" s="773"/>
    </row>
    <row r="99" spans="1:9" ht="12.75" customHeight="1" x14ac:dyDescent="0.2">
      <c r="A99" s="599"/>
      <c r="B99" s="599"/>
      <c r="C99" s="599"/>
      <c r="D99" s="601" t="s">
        <v>458</v>
      </c>
      <c r="E99" s="604" t="s">
        <v>459</v>
      </c>
      <c r="F99" s="605"/>
      <c r="G99" s="765"/>
      <c r="H99" s="766"/>
      <c r="I99" s="767"/>
    </row>
    <row r="100" spans="1:9" ht="12.75" customHeight="1" x14ac:dyDescent="0.2">
      <c r="A100" s="599"/>
      <c r="B100" s="599"/>
      <c r="C100" s="599"/>
      <c r="D100" s="602"/>
      <c r="E100" s="606"/>
      <c r="F100" s="607"/>
      <c r="G100" s="768"/>
      <c r="H100" s="769"/>
      <c r="I100" s="770"/>
    </row>
    <row r="101" spans="1:9" ht="12.75" customHeight="1" x14ac:dyDescent="0.2">
      <c r="A101" s="599"/>
      <c r="B101" s="599"/>
      <c r="C101" s="599"/>
      <c r="D101" s="602"/>
      <c r="E101" s="606"/>
      <c r="F101" s="607"/>
      <c r="G101" s="768"/>
      <c r="H101" s="769"/>
      <c r="I101" s="770"/>
    </row>
    <row r="102" spans="1:9" ht="12.75" customHeight="1" x14ac:dyDescent="0.2">
      <c r="A102" s="599"/>
      <c r="B102" s="599"/>
      <c r="C102" s="599"/>
      <c r="D102" s="602"/>
      <c r="E102" s="606"/>
      <c r="F102" s="607"/>
      <c r="G102" s="768"/>
      <c r="H102" s="769"/>
      <c r="I102" s="770"/>
    </row>
    <row r="103" spans="1:9" ht="12.75" customHeight="1" x14ac:dyDescent="0.2">
      <c r="A103" s="599"/>
      <c r="B103" s="599"/>
      <c r="C103" s="599"/>
      <c r="D103" s="603"/>
      <c r="E103" s="608"/>
      <c r="F103" s="609"/>
      <c r="G103" s="771"/>
      <c r="H103" s="772"/>
      <c r="I103" s="773"/>
    </row>
    <row r="104" spans="1:9" ht="12.75" customHeight="1" x14ac:dyDescent="0.2">
      <c r="A104" s="599"/>
      <c r="B104" s="599"/>
      <c r="C104" s="599"/>
      <c r="D104" s="601" t="s">
        <v>460</v>
      </c>
      <c r="E104" s="604" t="s">
        <v>461</v>
      </c>
      <c r="F104" s="605"/>
      <c r="G104" s="765"/>
      <c r="H104" s="766"/>
      <c r="I104" s="767"/>
    </row>
    <row r="105" spans="1:9" ht="12.75" customHeight="1" x14ac:dyDescent="0.2">
      <c r="A105" s="599"/>
      <c r="B105" s="599"/>
      <c r="C105" s="599"/>
      <c r="D105" s="602"/>
      <c r="E105" s="606"/>
      <c r="F105" s="607"/>
      <c r="G105" s="768"/>
      <c r="H105" s="769"/>
      <c r="I105" s="770"/>
    </row>
    <row r="106" spans="1:9" ht="12.75" customHeight="1" x14ac:dyDescent="0.2">
      <c r="A106" s="599"/>
      <c r="B106" s="599"/>
      <c r="C106" s="599"/>
      <c r="D106" s="602"/>
      <c r="E106" s="606"/>
      <c r="F106" s="607"/>
      <c r="G106" s="768"/>
      <c r="H106" s="769"/>
      <c r="I106" s="770"/>
    </row>
    <row r="107" spans="1:9" ht="12.75" customHeight="1" x14ac:dyDescent="0.2">
      <c r="A107" s="599"/>
      <c r="B107" s="599"/>
      <c r="C107" s="599"/>
      <c r="D107" s="602"/>
      <c r="E107" s="606"/>
      <c r="F107" s="607"/>
      <c r="G107" s="768"/>
      <c r="H107" s="769"/>
      <c r="I107" s="770"/>
    </row>
    <row r="108" spans="1:9" ht="12.75" customHeight="1" x14ac:dyDescent="0.2">
      <c r="A108" s="599"/>
      <c r="B108" s="599"/>
      <c r="C108" s="599"/>
      <c r="D108" s="602"/>
      <c r="E108" s="608"/>
      <c r="F108" s="609"/>
      <c r="G108" s="771"/>
      <c r="H108" s="772"/>
      <c r="I108" s="773"/>
    </row>
    <row r="109" spans="1:9" ht="12.75" customHeight="1" x14ac:dyDescent="0.2">
      <c r="A109" s="599"/>
      <c r="B109" s="599"/>
      <c r="C109" s="599"/>
      <c r="D109" s="602"/>
      <c r="E109" s="604" t="s">
        <v>462</v>
      </c>
      <c r="F109" s="605"/>
      <c r="G109" s="774"/>
      <c r="H109" s="775"/>
      <c r="I109" s="776"/>
    </row>
    <row r="110" spans="1:9" ht="12.75" customHeight="1" x14ac:dyDescent="0.2">
      <c r="A110" s="599"/>
      <c r="B110" s="599"/>
      <c r="C110" s="599"/>
      <c r="D110" s="602"/>
      <c r="E110" s="608"/>
      <c r="F110" s="609"/>
      <c r="G110" s="777"/>
      <c r="H110" s="778"/>
      <c r="I110" s="779"/>
    </row>
    <row r="111" spans="1:9" ht="12.75" customHeight="1" x14ac:dyDescent="0.2">
      <c r="A111" s="599"/>
      <c r="B111" s="599"/>
      <c r="C111" s="599"/>
      <c r="D111" s="602"/>
      <c r="E111" s="604" t="s">
        <v>463</v>
      </c>
      <c r="F111" s="605"/>
      <c r="G111" s="765" t="s">
        <v>336</v>
      </c>
      <c r="H111" s="766"/>
      <c r="I111" s="767"/>
    </row>
    <row r="112" spans="1:9" ht="12.75" customHeight="1" x14ac:dyDescent="0.2">
      <c r="A112" s="599"/>
      <c r="B112" s="599"/>
      <c r="C112" s="599"/>
      <c r="D112" s="602"/>
      <c r="E112" s="606"/>
      <c r="F112" s="607"/>
      <c r="G112" s="768"/>
      <c r="H112" s="769"/>
      <c r="I112" s="770"/>
    </row>
    <row r="113" spans="1:9" ht="12.75" customHeight="1" x14ac:dyDescent="0.2">
      <c r="A113" s="599"/>
      <c r="B113" s="599"/>
      <c r="C113" s="599"/>
      <c r="D113" s="602"/>
      <c r="E113" s="606"/>
      <c r="F113" s="607"/>
      <c r="G113" s="768"/>
      <c r="H113" s="769"/>
      <c r="I113" s="770"/>
    </row>
    <row r="114" spans="1:9" ht="12.75" customHeight="1" x14ac:dyDescent="0.2">
      <c r="A114" s="599"/>
      <c r="B114" s="599"/>
      <c r="C114" s="599"/>
      <c r="D114" s="602"/>
      <c r="E114" s="606"/>
      <c r="F114" s="607"/>
      <c r="G114" s="768"/>
      <c r="H114" s="769"/>
      <c r="I114" s="770"/>
    </row>
    <row r="115" spans="1:9" ht="12.75" customHeight="1" x14ac:dyDescent="0.2">
      <c r="A115" s="599"/>
      <c r="B115" s="599"/>
      <c r="C115" s="599"/>
      <c r="D115" s="602"/>
      <c r="E115" s="608"/>
      <c r="F115" s="609"/>
      <c r="G115" s="771"/>
      <c r="H115" s="772"/>
      <c r="I115" s="773"/>
    </row>
    <row r="116" spans="1:9" ht="12.75" customHeight="1" x14ac:dyDescent="0.2">
      <c r="A116" s="599"/>
      <c r="B116" s="599"/>
      <c r="C116" s="599"/>
      <c r="D116" s="602"/>
      <c r="E116" s="604" t="s">
        <v>464</v>
      </c>
      <c r="F116" s="605"/>
      <c r="G116" s="774"/>
      <c r="H116" s="775"/>
      <c r="I116" s="776"/>
    </row>
    <row r="117" spans="1:9" ht="12.75" customHeight="1" x14ac:dyDescent="0.2">
      <c r="A117" s="599"/>
      <c r="B117" s="599"/>
      <c r="C117" s="599"/>
      <c r="D117" s="603"/>
      <c r="E117" s="608"/>
      <c r="F117" s="609"/>
      <c r="G117" s="777"/>
      <c r="H117" s="778"/>
      <c r="I117" s="779"/>
    </row>
    <row r="118" spans="1:9" ht="12.75" customHeight="1" x14ac:dyDescent="0.2">
      <c r="A118" s="599"/>
      <c r="B118" s="599"/>
      <c r="C118" s="599"/>
      <c r="D118" s="601" t="s">
        <v>465</v>
      </c>
      <c r="E118" s="604" t="s">
        <v>466</v>
      </c>
      <c r="F118" s="605"/>
      <c r="G118" s="765" t="s">
        <v>455</v>
      </c>
      <c r="H118" s="766"/>
      <c r="I118" s="767"/>
    </row>
    <row r="119" spans="1:9" ht="12.75" customHeight="1" x14ac:dyDescent="0.2">
      <c r="A119" s="599"/>
      <c r="B119" s="599"/>
      <c r="C119" s="599"/>
      <c r="D119" s="602"/>
      <c r="E119" s="606"/>
      <c r="F119" s="607"/>
      <c r="G119" s="768"/>
      <c r="H119" s="769"/>
      <c r="I119" s="770"/>
    </row>
    <row r="120" spans="1:9" ht="12.75" customHeight="1" x14ac:dyDescent="0.2">
      <c r="A120" s="599"/>
      <c r="B120" s="599"/>
      <c r="C120" s="599"/>
      <c r="D120" s="602"/>
      <c r="E120" s="606"/>
      <c r="F120" s="607"/>
      <c r="G120" s="768"/>
      <c r="H120" s="769"/>
      <c r="I120" s="770"/>
    </row>
    <row r="121" spans="1:9" ht="12.75" customHeight="1" x14ac:dyDescent="0.2">
      <c r="A121" s="599"/>
      <c r="B121" s="599"/>
      <c r="C121" s="599"/>
      <c r="D121" s="602"/>
      <c r="E121" s="606"/>
      <c r="F121" s="607"/>
      <c r="G121" s="768"/>
      <c r="H121" s="769"/>
      <c r="I121" s="770"/>
    </row>
    <row r="122" spans="1:9" ht="12.75" customHeight="1" x14ac:dyDescent="0.2">
      <c r="A122" s="599"/>
      <c r="B122" s="599"/>
      <c r="C122" s="599"/>
      <c r="D122" s="602"/>
      <c r="E122" s="608"/>
      <c r="F122" s="609"/>
      <c r="G122" s="771"/>
      <c r="H122" s="772"/>
      <c r="I122" s="773"/>
    </row>
    <row r="123" spans="1:9" ht="12.75" customHeight="1" x14ac:dyDescent="0.2">
      <c r="A123" s="599"/>
      <c r="B123" s="599"/>
      <c r="C123" s="599"/>
      <c r="D123" s="602"/>
      <c r="E123" s="604" t="s">
        <v>467</v>
      </c>
      <c r="F123" s="605"/>
      <c r="G123" s="774"/>
      <c r="H123" s="775"/>
      <c r="I123" s="776"/>
    </row>
    <row r="124" spans="1:9" ht="12.75" customHeight="1" x14ac:dyDescent="0.2">
      <c r="A124" s="600"/>
      <c r="B124" s="600"/>
      <c r="C124" s="600"/>
      <c r="D124" s="603"/>
      <c r="E124" s="608"/>
      <c r="F124" s="609"/>
      <c r="G124" s="777"/>
      <c r="H124" s="778"/>
      <c r="I124" s="779"/>
    </row>
    <row r="125" spans="1:9" ht="12.75" customHeight="1" x14ac:dyDescent="0.2">
      <c r="A125" s="598" t="s">
        <v>453</v>
      </c>
      <c r="B125" s="598" t="s">
        <v>468</v>
      </c>
      <c r="C125" s="598" t="s">
        <v>455</v>
      </c>
      <c r="D125" s="783" t="s">
        <v>456</v>
      </c>
      <c r="E125" s="623" t="s">
        <v>469</v>
      </c>
      <c r="F125" s="624"/>
      <c r="G125" s="629" t="s">
        <v>455</v>
      </c>
      <c r="H125" s="780"/>
      <c r="I125" s="630"/>
    </row>
    <row r="126" spans="1:9" ht="12.75" customHeight="1" x14ac:dyDescent="0.2">
      <c r="A126" s="599"/>
      <c r="B126" s="599"/>
      <c r="C126" s="599"/>
      <c r="D126" s="784"/>
      <c r="E126" s="625"/>
      <c r="F126" s="626"/>
      <c r="G126" s="631"/>
      <c r="H126" s="781"/>
      <c r="I126" s="632"/>
    </row>
    <row r="127" spans="1:9" ht="12.75" customHeight="1" x14ac:dyDescent="0.2">
      <c r="A127" s="599"/>
      <c r="B127" s="599"/>
      <c r="C127" s="599"/>
      <c r="D127" s="784"/>
      <c r="E127" s="625"/>
      <c r="F127" s="626"/>
      <c r="G127" s="631"/>
      <c r="H127" s="781"/>
      <c r="I127" s="632"/>
    </row>
    <row r="128" spans="1:9" ht="12.75" customHeight="1" x14ac:dyDescent="0.2">
      <c r="A128" s="599"/>
      <c r="B128" s="599"/>
      <c r="C128" s="599"/>
      <c r="D128" s="784"/>
      <c r="E128" s="625"/>
      <c r="F128" s="626"/>
      <c r="G128" s="631"/>
      <c r="H128" s="781"/>
      <c r="I128" s="632"/>
    </row>
    <row r="129" spans="1:9" ht="12.75" customHeight="1" x14ac:dyDescent="0.2">
      <c r="A129" s="600"/>
      <c r="B129" s="600"/>
      <c r="C129" s="600"/>
      <c r="D129" s="785"/>
      <c r="E129" s="627"/>
      <c r="F129" s="628"/>
      <c r="G129" s="633"/>
      <c r="H129" s="782"/>
      <c r="I129" s="634"/>
    </row>
  </sheetData>
  <sheetProtection algorithmName="SHA-512" hashValue="TiRRhOOncDXE4oCxXj5UzVJKBffaizluVT3wU1RLF6dqGYXbfJhA2fwaVHUvrRYob5tgNCWan5hG/NIyOcnEtg==" saltValue="IQ5e8kK7RJTpbH9ISesv5Q==" spinCount="100000" sheet="1" objects="1" scenarios="1"/>
  <mergeCells count="155">
    <mergeCell ref="G125:I129"/>
    <mergeCell ref="D118:D124"/>
    <mergeCell ref="E118:F122"/>
    <mergeCell ref="G118:I122"/>
    <mergeCell ref="E123:F124"/>
    <mergeCell ref="G123:I124"/>
    <mergeCell ref="A125:A129"/>
    <mergeCell ref="B125:B129"/>
    <mergeCell ref="C125:C129"/>
    <mergeCell ref="D125:D129"/>
    <mergeCell ref="E125:F129"/>
    <mergeCell ref="A92:I92"/>
    <mergeCell ref="D93:I93"/>
    <mergeCell ref="A94:A124"/>
    <mergeCell ref="B94:B124"/>
    <mergeCell ref="C94:C124"/>
    <mergeCell ref="D94:D98"/>
    <mergeCell ref="E94:F98"/>
    <mergeCell ref="G94:I98"/>
    <mergeCell ref="D99:D103"/>
    <mergeCell ref="E99:F103"/>
    <mergeCell ref="G99:I103"/>
    <mergeCell ref="D104:D117"/>
    <mergeCell ref="E104:F108"/>
    <mergeCell ref="G104:I108"/>
    <mergeCell ref="E109:F110"/>
    <mergeCell ref="G109:I110"/>
    <mergeCell ref="E111:F115"/>
    <mergeCell ref="G111:I115"/>
    <mergeCell ref="E116:F117"/>
    <mergeCell ref="G116:I117"/>
    <mergeCell ref="A85:C86"/>
    <mergeCell ref="D85:I86"/>
    <mergeCell ref="A87:C88"/>
    <mergeCell ref="D87:I88"/>
    <mergeCell ref="A89:C90"/>
    <mergeCell ref="D89:I90"/>
    <mergeCell ref="A80:C80"/>
    <mergeCell ref="D80:E80"/>
    <mergeCell ref="F80:G80"/>
    <mergeCell ref="H80:I80"/>
    <mergeCell ref="A82:C82"/>
    <mergeCell ref="A83:C84"/>
    <mergeCell ref="D83:I84"/>
    <mergeCell ref="A79:C79"/>
    <mergeCell ref="D79:E79"/>
    <mergeCell ref="F79:G79"/>
    <mergeCell ref="H79:I79"/>
    <mergeCell ref="F72:F75"/>
    <mergeCell ref="G72:G75"/>
    <mergeCell ref="H72:H75"/>
    <mergeCell ref="I72:I75"/>
    <mergeCell ref="D77:E77"/>
    <mergeCell ref="F77:G77"/>
    <mergeCell ref="H77:I77"/>
    <mergeCell ref="A71:I71"/>
    <mergeCell ref="A72:A75"/>
    <mergeCell ref="B72:B74"/>
    <mergeCell ref="C72:C75"/>
    <mergeCell ref="D72:D75"/>
    <mergeCell ref="E72:E75"/>
    <mergeCell ref="A78:C78"/>
    <mergeCell ref="D78:E78"/>
    <mergeCell ref="F78:G78"/>
    <mergeCell ref="H78:I78"/>
    <mergeCell ref="A66:I66"/>
    <mergeCell ref="A67:A70"/>
    <mergeCell ref="C67:C70"/>
    <mergeCell ref="D67:D70"/>
    <mergeCell ref="E67:E70"/>
    <mergeCell ref="F67:F70"/>
    <mergeCell ref="G67:G70"/>
    <mergeCell ref="H67:H70"/>
    <mergeCell ref="I67:I70"/>
    <mergeCell ref="A63:A65"/>
    <mergeCell ref="B63:B65"/>
    <mergeCell ref="C63:C65"/>
    <mergeCell ref="D63:D65"/>
    <mergeCell ref="E63:E65"/>
    <mergeCell ref="F63:F65"/>
    <mergeCell ref="G63:G65"/>
    <mergeCell ref="H63:H65"/>
    <mergeCell ref="I63:I65"/>
    <mergeCell ref="A59:I59"/>
    <mergeCell ref="A60:A62"/>
    <mergeCell ref="B60:B62"/>
    <mergeCell ref="C60:C62"/>
    <mergeCell ref="D60:D62"/>
    <mergeCell ref="E60:E62"/>
    <mergeCell ref="F60:F62"/>
    <mergeCell ref="G60:G62"/>
    <mergeCell ref="H60:H62"/>
    <mergeCell ref="I60:I62"/>
    <mergeCell ref="A51:C53"/>
    <mergeCell ref="D51:E53"/>
    <mergeCell ref="F51:G53"/>
    <mergeCell ref="H51:I53"/>
    <mergeCell ref="A55:A58"/>
    <mergeCell ref="B55:B58"/>
    <mergeCell ref="C55:C58"/>
    <mergeCell ref="D55:D58"/>
    <mergeCell ref="E55:E58"/>
    <mergeCell ref="F55:F58"/>
    <mergeCell ref="G55:G58"/>
    <mergeCell ref="H55:H58"/>
    <mergeCell ref="I55:I58"/>
    <mergeCell ref="A48:C48"/>
    <mergeCell ref="D48:E48"/>
    <mergeCell ref="F48:G48"/>
    <mergeCell ref="H48:I48"/>
    <mergeCell ref="A49:C50"/>
    <mergeCell ref="D49:E50"/>
    <mergeCell ref="F49:G50"/>
    <mergeCell ref="H49:I50"/>
    <mergeCell ref="A34:C46"/>
    <mergeCell ref="D34:E46"/>
    <mergeCell ref="F34:G46"/>
    <mergeCell ref="H34:I46"/>
    <mergeCell ref="A47:C47"/>
    <mergeCell ref="D47:E47"/>
    <mergeCell ref="F47:G47"/>
    <mergeCell ref="H47:I47"/>
    <mergeCell ref="A29:C30"/>
    <mergeCell ref="D29:I30"/>
    <mergeCell ref="D32:E32"/>
    <mergeCell ref="F32:G32"/>
    <mergeCell ref="H32:I32"/>
    <mergeCell ref="A33:C33"/>
    <mergeCell ref="D33:E33"/>
    <mergeCell ref="F33:G33"/>
    <mergeCell ref="H33:I33"/>
    <mergeCell ref="A26:C26"/>
    <mergeCell ref="D26:I26"/>
    <mergeCell ref="A27:C27"/>
    <mergeCell ref="D27:I27"/>
    <mergeCell ref="A28:C28"/>
    <mergeCell ref="D28:I28"/>
    <mergeCell ref="A23:C23"/>
    <mergeCell ref="D23:I23"/>
    <mergeCell ref="A24:C24"/>
    <mergeCell ref="D24:I24"/>
    <mergeCell ref="A25:C25"/>
    <mergeCell ref="D25:I25"/>
    <mergeCell ref="A11:C14"/>
    <mergeCell ref="D11:I14"/>
    <mergeCell ref="A16:C21"/>
    <mergeCell ref="D16:I21"/>
    <mergeCell ref="A22:C22"/>
    <mergeCell ref="D22:I22"/>
    <mergeCell ref="A8:C8"/>
    <mergeCell ref="D8:I8"/>
    <mergeCell ref="A9:C9"/>
    <mergeCell ref="D9:I9"/>
    <mergeCell ref="A10:C10"/>
    <mergeCell ref="D10:I10"/>
  </mergeCells>
  <conditionalFormatting sqref="G109:H110">
    <cfRule type="containsText" dxfId="230" priority="7" operator="containsText" text="Yes">
      <formula>NOT(ISERROR(SEARCH("Yes",G109)))</formula>
    </cfRule>
    <cfRule type="containsText" dxfId="229" priority="8" operator="containsText" text="No">
      <formula>NOT(ISERROR(SEARCH("No",G109)))</formula>
    </cfRule>
    <cfRule type="containsText" dxfId="228" priority="9" operator="containsText" text="N/A">
      <formula>NOT(ISERROR(SEARCH("N/A",G109)))</formula>
    </cfRule>
  </conditionalFormatting>
  <conditionalFormatting sqref="G116:H117">
    <cfRule type="containsText" dxfId="227" priority="4" operator="containsText" text="Yes">
      <formula>NOT(ISERROR(SEARCH("Yes",G116)))</formula>
    </cfRule>
    <cfRule type="containsText" dxfId="226" priority="5" operator="containsText" text="No">
      <formula>NOT(ISERROR(SEARCH("No",G116)))</formula>
    </cfRule>
    <cfRule type="containsText" dxfId="225" priority="6" operator="containsText" text="N/A">
      <formula>NOT(ISERROR(SEARCH("N/A",G116)))</formula>
    </cfRule>
  </conditionalFormatting>
  <conditionalFormatting sqref="G123:H124">
    <cfRule type="containsText" dxfId="224" priority="1" operator="containsText" text="Yes">
      <formula>NOT(ISERROR(SEARCH("Yes",G123)))</formula>
    </cfRule>
    <cfRule type="containsText" dxfId="223" priority="2" operator="containsText" text="No">
      <formula>NOT(ISERROR(SEARCH("No",G123)))</formula>
    </cfRule>
    <cfRule type="containsText" dxfId="222" priority="3" operator="containsText" text="N/A">
      <formula>NOT(ISERROR(SEARCH("N/A",G123)))</formula>
    </cfRule>
  </conditionalFormatting>
  <pageMargins left="0.7" right="0.7" top="0.75" bottom="0.75" header="0.3" footer="0.3"/>
  <pageSetup scale="49" fitToHeight="0" orientation="landscape" r:id="rId1"/>
  <drawing r:id="rId2"/>
  <legacyDrawing r:id="rId3"/>
  <controls>
    <mc:AlternateContent xmlns:mc="http://schemas.openxmlformats.org/markup-compatibility/2006">
      <mc:Choice Requires="x14">
        <control shapeId="11265"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1265" r:id="rId4" name="backMenuBtn"/>
      </mc:Fallback>
    </mc:AlternateContent>
    <mc:AlternateContent xmlns:mc="http://schemas.openxmlformats.org/markup-compatibility/2006">
      <mc:Choice Requires="x14">
        <control shapeId="11266" r:id="rId6" name="CommandButton1">
          <controlPr defaultSize="0" autoLine="0" r:id="rId7">
            <anchor moveWithCells="1">
              <from>
                <xdr:col>1</xdr:col>
                <xdr:colOff>1314450</xdr:colOff>
                <xdr:row>0</xdr:row>
                <xdr:rowOff>0</xdr:rowOff>
              </from>
              <to>
                <xdr:col>2</xdr:col>
                <xdr:colOff>1143000</xdr:colOff>
                <xdr:row>1</xdr:row>
                <xdr:rowOff>114300</xdr:rowOff>
              </to>
            </anchor>
          </controlPr>
        </control>
      </mc:Choice>
      <mc:Fallback>
        <control shapeId="11266" r:id="rId6" name="CommandButton1"/>
      </mc:Fallback>
    </mc:AlternateContent>
    <mc:AlternateContent xmlns:mc="http://schemas.openxmlformats.org/markup-compatibility/2006">
      <mc:Choice Requires="x14">
        <control shapeId="11267" r:id="rId8" name="CommandButton2">
          <controlPr defaultSize="0" autoLine="0" r:id="rId9">
            <anchor moveWithCells="1">
              <from>
                <xdr:col>0</xdr:col>
                <xdr:colOff>1352550</xdr:colOff>
                <xdr:row>0</xdr:row>
                <xdr:rowOff>9525</xdr:rowOff>
              </from>
              <to>
                <xdr:col>1</xdr:col>
                <xdr:colOff>1181100</xdr:colOff>
                <xdr:row>1</xdr:row>
                <xdr:rowOff>123825</xdr:rowOff>
              </to>
            </anchor>
          </controlPr>
        </control>
      </mc:Choice>
      <mc:Fallback>
        <control shapeId="11267"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Dropdown!$I$2:$I$5</xm:f>
          </x14:formula1>
          <xm:sqref>G109:I110 G116:I117 G123:I124</xm:sqref>
        </x14:dataValidation>
        <x14:dataValidation type="list" allowBlank="1" showInputMessage="1" showErrorMessage="1">
          <x14:formula1>
            <xm:f>Dropdown!$H$2:$H$13</xm:f>
          </x14:formula1>
          <xm:sqref>D51:I53 D80:I80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50"/>
    <pageSetUpPr fitToPage="1"/>
  </sheetPr>
  <dimension ref="A1:I116"/>
  <sheetViews>
    <sheetView showGridLines="0" zoomScale="75" zoomScaleNormal="75" zoomScalePageLayoutView="60" workbookViewId="0">
      <pane xSplit="2" ySplit="14" topLeftCell="C15" activePane="bottomRight" state="frozen"/>
      <selection activeCell="C156" sqref="C156"/>
      <selection pane="topRight" activeCell="C156" sqref="C156"/>
      <selection pane="bottomLeft" activeCell="C156" sqref="C156"/>
      <selection pane="bottomRight" activeCell="C156" sqref="C156"/>
    </sheetView>
  </sheetViews>
  <sheetFormatPr defaultColWidth="9.42578125" defaultRowHeight="12.75" customHeight="1" outlineLevelRow="1" x14ac:dyDescent="0.2"/>
  <cols>
    <col min="1" max="8" width="30.5703125" style="267" customWidth="1"/>
    <col min="9" max="9" width="1.5703125" style="267" customWidth="1"/>
    <col min="10" max="16384" width="9.42578125" style="267"/>
  </cols>
  <sheetData>
    <row r="1" spans="1:8" ht="12.75" customHeight="1" x14ac:dyDescent="0.2">
      <c r="A1" s="267" t="s">
        <v>752</v>
      </c>
    </row>
    <row r="3" spans="1:8" ht="12.75" customHeight="1" outlineLevel="1" x14ac:dyDescent="0.2">
      <c r="A3" s="266" t="str">
        <f>Narrative!A3</f>
        <v>ViewRay</v>
      </c>
    </row>
    <row r="4" spans="1:8" ht="12.75" customHeight="1" outlineLevel="1" x14ac:dyDescent="0.2">
      <c r="A4" s="268" t="s">
        <v>394</v>
      </c>
    </row>
    <row r="5" spans="1:8" ht="12.75" customHeight="1" outlineLevel="1" x14ac:dyDescent="0.2">
      <c r="A5" s="266" t="str">
        <f>Narrative!A5</f>
        <v>Financial Close and Reporting (FCR)</v>
      </c>
    </row>
    <row r="6" spans="1:8" ht="12.75" customHeight="1" outlineLevel="1" x14ac:dyDescent="0.2">
      <c r="A6" s="266" t="str">
        <f>Narrative!A6</f>
        <v>FY 2019</v>
      </c>
    </row>
    <row r="7" spans="1:8" ht="12.75" customHeight="1" outlineLevel="1" x14ac:dyDescent="0.2">
      <c r="A7" s="269"/>
      <c r="B7" s="269"/>
      <c r="C7" s="270"/>
      <c r="D7" s="270"/>
      <c r="E7" s="270"/>
      <c r="F7" s="270"/>
      <c r="G7" s="270"/>
      <c r="H7" s="271"/>
    </row>
    <row r="8" spans="1:8" ht="12.75" customHeight="1" x14ac:dyDescent="0.2">
      <c r="A8" s="473" t="s">
        <v>395</v>
      </c>
      <c r="B8" s="474"/>
      <c r="C8" s="470" t="str">
        <f>RCM!A11</f>
        <v>FCR</v>
      </c>
      <c r="D8" s="471"/>
      <c r="E8" s="471"/>
      <c r="F8" s="471"/>
      <c r="G8" s="471"/>
      <c r="H8" s="472"/>
    </row>
    <row r="9" spans="1:8" ht="12.75" customHeight="1" x14ac:dyDescent="0.2">
      <c r="A9" s="466" t="s">
        <v>396</v>
      </c>
      <c r="B9" s="475"/>
      <c r="C9" s="470" t="str">
        <f>VLOOKUP($C$10,RCM!J:X,4,0)</f>
        <v>Senior Accountant</v>
      </c>
      <c r="D9" s="471"/>
      <c r="E9" s="471"/>
      <c r="F9" s="471"/>
      <c r="G9" s="471"/>
      <c r="H9" s="472"/>
    </row>
    <row r="10" spans="1:8" ht="12.75" customHeight="1" x14ac:dyDescent="0.2">
      <c r="A10" s="459" t="s">
        <v>397</v>
      </c>
      <c r="B10" s="476"/>
      <c r="C10" s="470" t="str">
        <f>RCM!J14</f>
        <v>FCR 3.04</v>
      </c>
      <c r="D10" s="471"/>
      <c r="E10" s="471"/>
      <c r="F10" s="471"/>
      <c r="G10" s="471"/>
      <c r="H10" s="472"/>
    </row>
    <row r="11" spans="1:8" ht="12.75" customHeight="1" x14ac:dyDescent="0.2">
      <c r="A11" s="459" t="s">
        <v>398</v>
      </c>
      <c r="B11" s="459"/>
      <c r="C11" s="460" t="str">
        <f>VLOOKUP($C$10,RCM!J:X,2,0)</f>
        <v>On a quarterly basis, the Senior Accountant validates the Accrualify Unvouched Invoice List by selecting sample invoices from the AP inbox that were received the prior business day.  The sampled invoices are agreed to the Accrualify report to ensure that each was accurately captured in the Unvouched Invoice List.  If any variances exist, the Accrualify is contacted to resolve the issue.  The Senior Accountant signs off on the report and notes all findings as evidence of review, along with retaining a copy of the sampled invoices with the final tested report.</v>
      </c>
      <c r="D11" s="461"/>
      <c r="E11" s="461"/>
      <c r="F11" s="461"/>
      <c r="G11" s="461"/>
      <c r="H11" s="462"/>
    </row>
    <row r="12" spans="1:8" ht="12.75" customHeight="1" x14ac:dyDescent="0.2">
      <c r="A12" s="459"/>
      <c r="B12" s="459"/>
      <c r="C12" s="467"/>
      <c r="D12" s="468"/>
      <c r="E12" s="468"/>
      <c r="F12" s="468"/>
      <c r="G12" s="468"/>
      <c r="H12" s="469"/>
    </row>
    <row r="13" spans="1:8" ht="12.75" customHeight="1" x14ac:dyDescent="0.2">
      <c r="A13" s="459"/>
      <c r="B13" s="459"/>
      <c r="C13" s="467"/>
      <c r="D13" s="468"/>
      <c r="E13" s="468"/>
      <c r="F13" s="468"/>
      <c r="G13" s="468"/>
      <c r="H13" s="469"/>
    </row>
    <row r="14" spans="1:8" ht="12.75" customHeight="1" x14ac:dyDescent="0.2">
      <c r="A14" s="459"/>
      <c r="B14" s="459"/>
      <c r="C14" s="463" t="e">
        <v>#N/A</v>
      </c>
      <c r="D14" s="464"/>
      <c r="E14" s="464"/>
      <c r="F14" s="464"/>
      <c r="G14" s="464"/>
      <c r="H14" s="465"/>
    </row>
    <row r="15" spans="1:8" ht="12.75" customHeight="1" x14ac:dyDescent="0.2">
      <c r="A15" s="272"/>
      <c r="B15" s="273"/>
      <c r="C15" s="274"/>
      <c r="D15" s="274"/>
      <c r="E15" s="274"/>
      <c r="F15" s="274"/>
      <c r="G15" s="274"/>
      <c r="H15" s="271"/>
    </row>
    <row r="16" spans="1:8" ht="12.75" customHeight="1" x14ac:dyDescent="0.2">
      <c r="A16" s="466" t="s">
        <v>399</v>
      </c>
      <c r="B16" s="466"/>
      <c r="C16" s="460" t="str">
        <f>VLOOKUP($C$10,RCM!J:X,12,)</f>
        <v>1. Obtain the final non-materials Accrualify Unmatched invoice listing test for the testing period.
2. Verify that the Senior Accountant performed the testing to the specified sample size.
3. Any variances noted.</v>
      </c>
      <c r="D16" s="461"/>
      <c r="E16" s="461"/>
      <c r="F16" s="461"/>
      <c r="G16" s="461"/>
      <c r="H16" s="462"/>
    </row>
    <row r="17" spans="1:8" ht="12.75" customHeight="1" x14ac:dyDescent="0.2">
      <c r="A17" s="466"/>
      <c r="B17" s="466"/>
      <c r="C17" s="467"/>
      <c r="D17" s="468"/>
      <c r="E17" s="468"/>
      <c r="F17" s="468"/>
      <c r="G17" s="468"/>
      <c r="H17" s="469"/>
    </row>
    <row r="18" spans="1:8" ht="12.75" customHeight="1" x14ac:dyDescent="0.2">
      <c r="A18" s="466"/>
      <c r="B18" s="466"/>
      <c r="C18" s="467"/>
      <c r="D18" s="468"/>
      <c r="E18" s="468"/>
      <c r="F18" s="468"/>
      <c r="G18" s="468"/>
      <c r="H18" s="469"/>
    </row>
    <row r="19" spans="1:8" ht="12.75" customHeight="1" x14ac:dyDescent="0.2">
      <c r="A19" s="466"/>
      <c r="B19" s="466"/>
      <c r="C19" s="463" t="e">
        <v>#N/A</v>
      </c>
      <c r="D19" s="464"/>
      <c r="E19" s="464"/>
      <c r="F19" s="464"/>
      <c r="G19" s="464"/>
      <c r="H19" s="465"/>
    </row>
    <row r="20" spans="1:8" ht="12.75" customHeight="1" x14ac:dyDescent="0.2">
      <c r="A20" s="466" t="s">
        <v>400</v>
      </c>
      <c r="B20" s="466"/>
      <c r="C20" s="470" t="str">
        <f>VLOOKUP($C$10,RCM!J:X,8,0)</f>
        <v>Inspection</v>
      </c>
      <c r="D20" s="471"/>
      <c r="E20" s="471"/>
      <c r="F20" s="471"/>
      <c r="G20" s="471"/>
      <c r="H20" s="472"/>
    </row>
    <row r="21" spans="1:8" ht="12.75" customHeight="1" x14ac:dyDescent="0.2">
      <c r="A21" s="466" t="s">
        <v>401</v>
      </c>
      <c r="B21" s="475"/>
      <c r="C21" s="480" t="str">
        <f>VLOOKUP($C$10,RCM!J:X,5,0)</f>
        <v>Quarterly</v>
      </c>
      <c r="D21" s="481"/>
      <c r="E21" s="481"/>
      <c r="F21" s="481"/>
      <c r="G21" s="481"/>
      <c r="H21" s="482"/>
    </row>
    <row r="22" spans="1:8" ht="12.75" customHeight="1" x14ac:dyDescent="0.2">
      <c r="A22" s="466" t="s">
        <v>402</v>
      </c>
      <c r="B22" s="475"/>
      <c r="C22" s="786">
        <f>VLOOKUP($C$10,RCM!J:X,3,0)</f>
        <v>43678</v>
      </c>
      <c r="D22" s="786"/>
      <c r="E22" s="786"/>
      <c r="F22" s="786"/>
      <c r="G22" s="786"/>
      <c r="H22" s="786"/>
    </row>
    <row r="23" spans="1:8" s="275" customFormat="1" ht="12.75" customHeight="1" x14ac:dyDescent="0.2">
      <c r="A23" s="466" t="s">
        <v>403</v>
      </c>
      <c r="B23" s="475"/>
      <c r="C23" s="480" t="str">
        <f>VLOOKUP($C$10,RCM!J:X,10,0)</f>
        <v xml:space="preserve">Medium </v>
      </c>
      <c r="D23" s="481"/>
      <c r="E23" s="481"/>
      <c r="F23" s="481"/>
      <c r="G23" s="481"/>
      <c r="H23" s="482"/>
    </row>
    <row r="24" spans="1:8" ht="12.75" customHeight="1" x14ac:dyDescent="0.2">
      <c r="A24" s="466" t="s">
        <v>404</v>
      </c>
      <c r="B24" s="475"/>
      <c r="C24" s="477" t="str">
        <f>RCM!$AB$3</f>
        <v>1/1/19 - 6/30/19</v>
      </c>
      <c r="D24" s="478"/>
      <c r="E24" s="478"/>
      <c r="F24" s="478"/>
      <c r="G24" s="478"/>
      <c r="H24" s="479"/>
    </row>
    <row r="25" spans="1:8" ht="12.75" customHeight="1" x14ac:dyDescent="0.2">
      <c r="A25" s="466" t="s">
        <v>405</v>
      </c>
      <c r="B25" s="475"/>
      <c r="C25" s="706">
        <f>VLOOKUP(C$10,RCM!$J$9:$AG$29,20,0)</f>
        <v>2</v>
      </c>
      <c r="D25" s="707"/>
      <c r="E25" s="707"/>
      <c r="F25" s="707"/>
      <c r="G25" s="707"/>
      <c r="H25" s="708"/>
    </row>
    <row r="26" spans="1:8" ht="12.75" customHeight="1" x14ac:dyDescent="0.2">
      <c r="A26" s="466" t="s">
        <v>406</v>
      </c>
      <c r="B26" s="475"/>
      <c r="C26" s="483" t="str">
        <f>RCM!$AB$5&amp;" "&amp;VLOOKUP(C$10,RCM!$J$9:$AG$29,21,0)&amp;" "&amp;RCM!$AB$6</f>
        <v>Annual sample size: 2 (See sample size derivation below)</v>
      </c>
      <c r="D26" s="484"/>
      <c r="E26" s="484"/>
      <c r="F26" s="484"/>
      <c r="G26" s="484"/>
      <c r="H26" s="485"/>
    </row>
    <row r="27" spans="1:8" ht="12.75" customHeight="1" x14ac:dyDescent="0.2">
      <c r="A27" s="489" t="s">
        <v>407</v>
      </c>
      <c r="B27" s="490"/>
      <c r="C27" s="787" t="s">
        <v>552</v>
      </c>
      <c r="D27" s="788"/>
      <c r="E27" s="788"/>
      <c r="F27" s="788"/>
      <c r="G27" s="788"/>
      <c r="H27" s="789"/>
    </row>
    <row r="28" spans="1:8" s="275" customFormat="1" ht="12.75" customHeight="1" x14ac:dyDescent="0.2">
      <c r="A28" s="493"/>
      <c r="B28" s="494"/>
      <c r="C28" s="790"/>
      <c r="D28" s="791"/>
      <c r="E28" s="791"/>
      <c r="F28" s="791"/>
      <c r="G28" s="791"/>
      <c r="H28" s="792"/>
    </row>
    <row r="29" spans="1:8" ht="12.75" customHeight="1" x14ac:dyDescent="0.2">
      <c r="A29" s="277"/>
      <c r="B29" s="277"/>
      <c r="C29" s="295"/>
      <c r="D29" s="295"/>
      <c r="E29" s="295"/>
      <c r="F29" s="295"/>
      <c r="G29" s="295"/>
      <c r="H29" s="295"/>
    </row>
    <row r="30" spans="1:8" ht="12.75" customHeight="1" x14ac:dyDescent="0.2">
      <c r="A30" s="279"/>
      <c r="B30" s="279"/>
      <c r="C30" s="506" t="s">
        <v>409</v>
      </c>
      <c r="D30" s="507"/>
      <c r="E30" s="506" t="s">
        <v>410</v>
      </c>
      <c r="F30" s="507"/>
      <c r="G30" s="506" t="s">
        <v>411</v>
      </c>
      <c r="H30" s="507"/>
    </row>
    <row r="31" spans="1:8" ht="12.75" customHeight="1" x14ac:dyDescent="0.2">
      <c r="A31" s="508" t="s">
        <v>412</v>
      </c>
      <c r="B31" s="509"/>
      <c r="C31" s="793">
        <f>VLOOKUP($C$10,RCM!$J$9:$AG$29,22,0)</f>
        <v>0</v>
      </c>
      <c r="D31" s="793"/>
      <c r="E31" s="794">
        <f>VLOOKUP($C$10,RCM!$J$9:$AG$29,23,0)</f>
        <v>1</v>
      </c>
      <c r="F31" s="712"/>
      <c r="G31" s="510">
        <f>VLOOKUP($C$10,RCM!$J$9:$AG$29,24,0)</f>
        <v>1</v>
      </c>
      <c r="H31" s="511"/>
    </row>
    <row r="32" spans="1:8" ht="12.75" customHeight="1" outlineLevel="1" x14ac:dyDescent="0.2">
      <c r="A32" s="523" t="s">
        <v>413</v>
      </c>
      <c r="B32" s="524"/>
      <c r="C32" s="529"/>
      <c r="D32" s="716"/>
      <c r="E32" s="721"/>
      <c r="F32" s="716"/>
      <c r="G32" s="722"/>
      <c r="H32" s="723"/>
    </row>
    <row r="33" spans="1:9" ht="12.75" customHeight="1" outlineLevel="1" x14ac:dyDescent="0.2">
      <c r="A33" s="525"/>
      <c r="B33" s="526"/>
      <c r="C33" s="717"/>
      <c r="D33" s="718"/>
      <c r="E33" s="717"/>
      <c r="F33" s="718"/>
      <c r="G33" s="724"/>
      <c r="H33" s="725"/>
    </row>
    <row r="34" spans="1:9" ht="12.75" customHeight="1" outlineLevel="1" x14ac:dyDescent="0.2">
      <c r="A34" s="525"/>
      <c r="B34" s="526"/>
      <c r="C34" s="717"/>
      <c r="D34" s="718"/>
      <c r="E34" s="717"/>
      <c r="F34" s="718"/>
      <c r="G34" s="724"/>
      <c r="H34" s="725"/>
    </row>
    <row r="35" spans="1:9" ht="12.75" customHeight="1" outlineLevel="1" x14ac:dyDescent="0.2">
      <c r="A35" s="525"/>
      <c r="B35" s="526"/>
      <c r="C35" s="717"/>
      <c r="D35" s="718"/>
      <c r="E35" s="717"/>
      <c r="F35" s="718"/>
      <c r="G35" s="724"/>
      <c r="H35" s="725"/>
    </row>
    <row r="36" spans="1:9" ht="12.75" customHeight="1" outlineLevel="1" x14ac:dyDescent="0.2">
      <c r="A36" s="525"/>
      <c r="B36" s="526"/>
      <c r="C36" s="717"/>
      <c r="D36" s="718"/>
      <c r="E36" s="717"/>
      <c r="F36" s="718"/>
      <c r="G36" s="724"/>
      <c r="H36" s="725"/>
    </row>
    <row r="37" spans="1:9" ht="12.75" customHeight="1" outlineLevel="1" x14ac:dyDescent="0.2">
      <c r="A37" s="525"/>
      <c r="B37" s="526"/>
      <c r="C37" s="717"/>
      <c r="D37" s="718"/>
      <c r="E37" s="717"/>
      <c r="F37" s="718"/>
      <c r="G37" s="724"/>
      <c r="H37" s="725"/>
    </row>
    <row r="38" spans="1:9" ht="12.75" customHeight="1" outlineLevel="1" x14ac:dyDescent="0.2">
      <c r="A38" s="525"/>
      <c r="B38" s="526"/>
      <c r="C38" s="717"/>
      <c r="D38" s="718"/>
      <c r="E38" s="717"/>
      <c r="F38" s="718"/>
      <c r="G38" s="724"/>
      <c r="H38" s="725"/>
    </row>
    <row r="39" spans="1:9" ht="12.75" customHeight="1" outlineLevel="1" x14ac:dyDescent="0.2">
      <c r="A39" s="525"/>
      <c r="B39" s="526"/>
      <c r="C39" s="717"/>
      <c r="D39" s="718"/>
      <c r="E39" s="717"/>
      <c r="F39" s="718"/>
      <c r="G39" s="724"/>
      <c r="H39" s="725"/>
    </row>
    <row r="40" spans="1:9" ht="12.75" customHeight="1" x14ac:dyDescent="0.2">
      <c r="A40" s="512" t="s">
        <v>415</v>
      </c>
      <c r="B40" s="513"/>
      <c r="C40" s="728" t="s">
        <v>336</v>
      </c>
      <c r="D40" s="729"/>
      <c r="E40" s="540"/>
      <c r="F40" s="541"/>
      <c r="G40" s="728"/>
      <c r="H40" s="729"/>
    </row>
    <row r="41" spans="1:9" ht="12.75" customHeight="1" x14ac:dyDescent="0.2">
      <c r="A41" s="512" t="s">
        <v>417</v>
      </c>
      <c r="B41" s="513"/>
      <c r="C41" s="728" t="s">
        <v>336</v>
      </c>
      <c r="D41" s="729"/>
      <c r="E41" s="514"/>
      <c r="F41" s="581"/>
      <c r="G41" s="714"/>
      <c r="H41" s="715"/>
    </row>
    <row r="42" spans="1:9" ht="12.75" customHeight="1" x14ac:dyDescent="0.2">
      <c r="A42" s="795" t="s">
        <v>418</v>
      </c>
      <c r="B42" s="795"/>
      <c r="C42" s="515" t="str">
        <f>VLOOKUP(C$10,'WT (WT)'!$A$8:$K$24,11,0)</f>
        <v>Inconclusive (Not in Place)</v>
      </c>
      <c r="D42" s="516"/>
      <c r="E42" s="515"/>
      <c r="F42" s="516"/>
      <c r="G42" s="519"/>
      <c r="H42" s="520"/>
    </row>
    <row r="43" spans="1:9" ht="12.75" customHeight="1" x14ac:dyDescent="0.2">
      <c r="A43" s="795"/>
      <c r="B43" s="795"/>
      <c r="C43" s="517"/>
      <c r="D43" s="518"/>
      <c r="E43" s="517"/>
      <c r="F43" s="518"/>
      <c r="G43" s="521"/>
      <c r="H43" s="522"/>
    </row>
    <row r="44" spans="1:9" ht="12.75" customHeight="1" x14ac:dyDescent="0.2">
      <c r="A44" s="795" t="s">
        <v>419</v>
      </c>
      <c r="B44" s="795"/>
      <c r="C44" s="519" t="s">
        <v>338</v>
      </c>
      <c r="D44" s="520"/>
      <c r="E44" s="519"/>
      <c r="F44" s="520"/>
      <c r="G44" s="519"/>
      <c r="H44" s="520"/>
    </row>
    <row r="45" spans="1:9" ht="12.75" customHeight="1" x14ac:dyDescent="0.2">
      <c r="A45" s="795"/>
      <c r="B45" s="795"/>
      <c r="C45" s="542"/>
      <c r="D45" s="543"/>
      <c r="E45" s="542"/>
      <c r="F45" s="543"/>
      <c r="G45" s="542"/>
      <c r="H45" s="543"/>
    </row>
    <row r="46" spans="1:9" ht="12.75" customHeight="1" x14ac:dyDescent="0.2">
      <c r="A46" s="795"/>
      <c r="B46" s="795"/>
      <c r="C46" s="521"/>
      <c r="D46" s="522"/>
      <c r="E46" s="521"/>
      <c r="F46" s="522"/>
      <c r="G46" s="521"/>
      <c r="H46" s="522"/>
    </row>
    <row r="47" spans="1:9" ht="12.75" customHeight="1" x14ac:dyDescent="0.2">
      <c r="A47" s="280"/>
      <c r="B47" s="280"/>
      <c r="C47" s="271"/>
      <c r="D47" s="271"/>
      <c r="E47" s="271"/>
      <c r="F47" s="271"/>
      <c r="G47" s="281"/>
      <c r="H47" s="271"/>
      <c r="I47" s="271"/>
    </row>
    <row r="48" spans="1:9" ht="12.75" customHeight="1" x14ac:dyDescent="0.2">
      <c r="A48" s="544" t="s">
        <v>420</v>
      </c>
      <c r="B48" s="544" t="s">
        <v>535</v>
      </c>
      <c r="C48" s="544" t="s">
        <v>553</v>
      </c>
      <c r="D48" s="544" t="s">
        <v>554</v>
      </c>
      <c r="E48" s="544" t="s">
        <v>555</v>
      </c>
      <c r="F48" s="544" t="s">
        <v>556</v>
      </c>
      <c r="G48" s="544" t="s">
        <v>557</v>
      </c>
      <c r="H48" s="544" t="s">
        <v>542</v>
      </c>
      <c r="I48" s="271"/>
    </row>
    <row r="49" spans="1:9" ht="12.75" customHeight="1" x14ac:dyDescent="0.2">
      <c r="A49" s="544"/>
      <c r="B49" s="544"/>
      <c r="C49" s="544"/>
      <c r="D49" s="544"/>
      <c r="E49" s="544"/>
      <c r="F49" s="544"/>
      <c r="G49" s="544"/>
      <c r="H49" s="544"/>
      <c r="I49" s="271"/>
    </row>
    <row r="50" spans="1:9" ht="12.75" customHeight="1" x14ac:dyDescent="0.2">
      <c r="A50" s="544"/>
      <c r="B50" s="544"/>
      <c r="C50" s="544"/>
      <c r="D50" s="544"/>
      <c r="E50" s="544"/>
      <c r="F50" s="544"/>
      <c r="G50" s="544"/>
      <c r="H50" s="544"/>
      <c r="I50" s="271"/>
    </row>
    <row r="51" spans="1:9" ht="12.75" customHeight="1" x14ac:dyDescent="0.2">
      <c r="A51" s="544"/>
      <c r="B51" s="544"/>
      <c r="C51" s="544"/>
      <c r="D51" s="544"/>
      <c r="E51" s="544"/>
      <c r="F51" s="544"/>
      <c r="G51" s="544"/>
      <c r="H51" s="544"/>
      <c r="I51" s="271"/>
    </row>
    <row r="52" spans="1:9" ht="12.75" customHeight="1" x14ac:dyDescent="0.2">
      <c r="A52" s="545" t="s">
        <v>428</v>
      </c>
      <c r="B52" s="546"/>
      <c r="C52" s="547"/>
      <c r="D52" s="547"/>
      <c r="E52" s="547"/>
      <c r="F52" s="547"/>
      <c r="G52" s="547"/>
      <c r="H52" s="548"/>
      <c r="I52" s="271"/>
    </row>
    <row r="53" spans="1:9" s="287" customFormat="1" ht="12.75" customHeight="1" outlineLevel="1" x14ac:dyDescent="0.2">
      <c r="A53" s="646">
        <v>1</v>
      </c>
      <c r="B53" s="656"/>
      <c r="C53" s="734"/>
      <c r="D53" s="646"/>
      <c r="E53" s="646"/>
      <c r="F53" s="656"/>
      <c r="G53" s="648"/>
      <c r="H53" s="658" t="s">
        <v>432</v>
      </c>
      <c r="I53" s="296"/>
    </row>
    <row r="54" spans="1:9" s="287" customFormat="1" ht="12.75" customHeight="1" outlineLevel="1" x14ac:dyDescent="0.2">
      <c r="A54" s="647"/>
      <c r="B54" s="657"/>
      <c r="C54" s="735"/>
      <c r="D54" s="647"/>
      <c r="E54" s="647"/>
      <c r="F54" s="647"/>
      <c r="G54" s="647"/>
      <c r="H54" s="659"/>
      <c r="I54" s="296"/>
    </row>
    <row r="55" spans="1:9" s="287" customFormat="1" ht="12.75" customHeight="1" outlineLevel="1" x14ac:dyDescent="0.2">
      <c r="A55" s="647"/>
      <c r="B55" s="657"/>
      <c r="C55" s="735"/>
      <c r="D55" s="647"/>
      <c r="E55" s="647"/>
      <c r="F55" s="647"/>
      <c r="G55" s="647"/>
      <c r="H55" s="659"/>
      <c r="I55" s="296"/>
    </row>
    <row r="56" spans="1:9" s="287" customFormat="1" ht="12.75" customHeight="1" outlineLevel="1" x14ac:dyDescent="0.2">
      <c r="A56" s="670"/>
      <c r="B56" s="687"/>
      <c r="C56" s="736"/>
      <c r="D56" s="670"/>
      <c r="E56" s="670"/>
      <c r="F56" s="670"/>
      <c r="G56" s="670"/>
      <c r="H56" s="737"/>
      <c r="I56" s="296"/>
    </row>
    <row r="57" spans="1:9" ht="12.75" customHeight="1" x14ac:dyDescent="0.2">
      <c r="A57" s="545" t="s">
        <v>410</v>
      </c>
      <c r="B57" s="546"/>
      <c r="C57" s="547"/>
      <c r="D57" s="547"/>
      <c r="E57" s="547"/>
      <c r="F57" s="547"/>
      <c r="G57" s="547"/>
      <c r="H57" s="548"/>
      <c r="I57" s="271"/>
    </row>
    <row r="58" spans="1:9" s="286" customFormat="1" ht="12.75" customHeight="1" outlineLevel="1" x14ac:dyDescent="0.25">
      <c r="A58" s="549"/>
      <c r="B58" s="741"/>
      <c r="C58" s="734"/>
      <c r="D58" s="552"/>
      <c r="E58" s="552"/>
      <c r="F58" s="656"/>
      <c r="G58" s="656"/>
      <c r="H58" s="554"/>
    </row>
    <row r="59" spans="1:9" s="286" customFormat="1" ht="12.75" customHeight="1" outlineLevel="1" x14ac:dyDescent="0.25">
      <c r="A59" s="549"/>
      <c r="B59" s="742"/>
      <c r="C59" s="735"/>
      <c r="D59" s="552"/>
      <c r="E59" s="552"/>
      <c r="F59" s="647"/>
      <c r="G59" s="647"/>
      <c r="H59" s="552"/>
    </row>
    <row r="60" spans="1:9" s="286" customFormat="1" ht="12.75" customHeight="1" outlineLevel="1" x14ac:dyDescent="0.25">
      <c r="A60" s="549"/>
      <c r="B60" s="742"/>
      <c r="C60" s="735"/>
      <c r="D60" s="552"/>
      <c r="E60" s="552"/>
      <c r="F60" s="647"/>
      <c r="G60" s="647"/>
      <c r="H60" s="552"/>
    </row>
    <row r="61" spans="1:9" s="286" customFormat="1" ht="12.75" customHeight="1" outlineLevel="1" x14ac:dyDescent="0.25">
      <c r="A61" s="549"/>
      <c r="B61" s="743"/>
      <c r="C61" s="736"/>
      <c r="D61" s="552"/>
      <c r="E61" s="552"/>
      <c r="F61" s="670"/>
      <c r="G61" s="670"/>
      <c r="H61" s="552"/>
    </row>
    <row r="62" spans="1:9" ht="12.75" customHeight="1" x14ac:dyDescent="0.2">
      <c r="A62" s="744" t="s">
        <v>437</v>
      </c>
      <c r="B62" s="744"/>
      <c r="C62" s="744"/>
      <c r="D62" s="744"/>
      <c r="E62" s="744"/>
      <c r="F62" s="744"/>
      <c r="G62" s="744"/>
      <c r="H62" s="744"/>
    </row>
    <row r="63" spans="1:9" ht="12.75" customHeight="1" outlineLevel="1" x14ac:dyDescent="0.2">
      <c r="A63" s="549"/>
      <c r="B63" s="741"/>
      <c r="C63" s="745"/>
      <c r="D63" s="552"/>
      <c r="E63" s="552"/>
      <c r="F63" s="656"/>
      <c r="G63" s="656"/>
      <c r="H63" s="738"/>
      <c r="I63" s="271"/>
    </row>
    <row r="64" spans="1:9" ht="12.75" customHeight="1" outlineLevel="1" x14ac:dyDescent="0.2">
      <c r="A64" s="549"/>
      <c r="B64" s="742"/>
      <c r="C64" s="746"/>
      <c r="D64" s="552"/>
      <c r="E64" s="552"/>
      <c r="F64" s="647"/>
      <c r="G64" s="647"/>
      <c r="H64" s="739"/>
      <c r="I64" s="271"/>
    </row>
    <row r="65" spans="1:9" ht="12.75" customHeight="1" outlineLevel="1" x14ac:dyDescent="0.2">
      <c r="A65" s="549"/>
      <c r="B65" s="742"/>
      <c r="C65" s="746"/>
      <c r="D65" s="552"/>
      <c r="E65" s="552"/>
      <c r="F65" s="647"/>
      <c r="G65" s="647"/>
      <c r="H65" s="739"/>
      <c r="I65" s="271"/>
    </row>
    <row r="66" spans="1:9" ht="12.75" customHeight="1" outlineLevel="1" x14ac:dyDescent="0.2">
      <c r="A66" s="549"/>
      <c r="B66" s="743"/>
      <c r="C66" s="747"/>
      <c r="D66" s="552"/>
      <c r="E66" s="552"/>
      <c r="F66" s="670"/>
      <c r="G66" s="670"/>
      <c r="H66" s="740"/>
      <c r="I66" s="271"/>
    </row>
    <row r="67" spans="1:9" ht="12.75" customHeight="1" x14ac:dyDescent="0.2">
      <c r="A67" s="270"/>
      <c r="B67" s="270"/>
      <c r="C67" s="293"/>
      <c r="D67" s="270"/>
      <c r="E67" s="270"/>
      <c r="F67" s="270"/>
      <c r="G67" s="270"/>
    </row>
    <row r="68" spans="1:9" ht="12.75" customHeight="1" x14ac:dyDescent="0.2">
      <c r="A68" s="282"/>
      <c r="B68" s="282"/>
      <c r="C68" s="506" t="s">
        <v>409</v>
      </c>
      <c r="D68" s="507"/>
      <c r="E68" s="506" t="s">
        <v>436</v>
      </c>
      <c r="F68" s="507"/>
      <c r="G68" s="752" t="s">
        <v>437</v>
      </c>
      <c r="H68" s="753"/>
    </row>
    <row r="69" spans="1:9" ht="12.75" customHeight="1" x14ac:dyDescent="0.2">
      <c r="A69" s="512" t="s">
        <v>438</v>
      </c>
      <c r="B69" s="556"/>
      <c r="C69" s="748" t="s">
        <v>336</v>
      </c>
      <c r="D69" s="749"/>
      <c r="E69" s="748"/>
      <c r="F69" s="749"/>
      <c r="G69" s="748"/>
      <c r="H69" s="750"/>
    </row>
    <row r="70" spans="1:9" ht="12.75" customHeight="1" x14ac:dyDescent="0.2">
      <c r="A70" s="512" t="s">
        <v>440</v>
      </c>
      <c r="B70" s="556"/>
      <c r="C70" s="748" t="s">
        <v>336</v>
      </c>
      <c r="D70" s="749"/>
      <c r="E70" s="748"/>
      <c r="F70" s="749"/>
      <c r="G70" s="748"/>
      <c r="H70" s="750"/>
    </row>
    <row r="71" spans="1:9" ht="12.75" customHeight="1" x14ac:dyDescent="0.2">
      <c r="A71" s="512" t="s">
        <v>441</v>
      </c>
      <c r="B71" s="556"/>
      <c r="C71" s="582" t="s">
        <v>338</v>
      </c>
      <c r="D71" s="583"/>
      <c r="E71" s="557" t="s">
        <v>392</v>
      </c>
      <c r="F71" s="558"/>
      <c r="G71" s="557" t="s">
        <v>392</v>
      </c>
      <c r="H71" s="558"/>
    </row>
    <row r="72" spans="1:9" ht="12.75" customHeight="1" x14ac:dyDescent="0.2">
      <c r="A72" s="270"/>
      <c r="B72" s="270"/>
      <c r="C72" s="270"/>
      <c r="D72" s="270"/>
      <c r="E72" s="270"/>
      <c r="F72" s="270"/>
      <c r="G72" s="270"/>
      <c r="H72" s="270"/>
    </row>
    <row r="73" spans="1:9" ht="12.75" customHeight="1" x14ac:dyDescent="0.2">
      <c r="A73" s="561" t="s">
        <v>442</v>
      </c>
      <c r="B73" s="562"/>
      <c r="C73" s="270"/>
      <c r="D73" s="270"/>
      <c r="E73" s="270"/>
      <c r="F73" s="270"/>
      <c r="G73" s="270"/>
    </row>
    <row r="74" spans="1:9" ht="12.75" customHeight="1" x14ac:dyDescent="0.2">
      <c r="A74" s="764" t="s">
        <v>279</v>
      </c>
      <c r="B74" s="764"/>
      <c r="C74" s="755" t="s">
        <v>443</v>
      </c>
      <c r="D74" s="755"/>
      <c r="E74" s="755"/>
      <c r="F74" s="755"/>
      <c r="G74" s="755"/>
      <c r="H74" s="755"/>
    </row>
    <row r="75" spans="1:9" ht="12.75" customHeight="1" x14ac:dyDescent="0.2">
      <c r="A75" s="764"/>
      <c r="B75" s="764"/>
      <c r="C75" s="755"/>
      <c r="D75" s="755"/>
      <c r="E75" s="755"/>
      <c r="F75" s="755"/>
      <c r="G75" s="755"/>
      <c r="H75" s="755"/>
    </row>
    <row r="76" spans="1:9" ht="12.75" customHeight="1" x14ac:dyDescent="0.2">
      <c r="A76" s="754" t="s">
        <v>432</v>
      </c>
      <c r="B76" s="754"/>
      <c r="C76" s="755" t="s">
        <v>444</v>
      </c>
      <c r="D76" s="755"/>
      <c r="E76" s="755"/>
      <c r="F76" s="755"/>
      <c r="G76" s="755"/>
      <c r="H76" s="755"/>
    </row>
    <row r="77" spans="1:9" ht="12.75" customHeight="1" x14ac:dyDescent="0.2">
      <c r="A77" s="754"/>
      <c r="B77" s="754"/>
      <c r="C77" s="755"/>
      <c r="D77" s="755"/>
      <c r="E77" s="755"/>
      <c r="F77" s="755"/>
      <c r="G77" s="755"/>
      <c r="H77" s="755"/>
    </row>
    <row r="79" spans="1:9" ht="12.75" customHeight="1" x14ac:dyDescent="0.2">
      <c r="A79" s="796" t="s">
        <v>370</v>
      </c>
      <c r="B79" s="796"/>
      <c r="C79" s="796"/>
      <c r="D79" s="796"/>
      <c r="E79" s="796"/>
      <c r="F79" s="796"/>
      <c r="G79" s="796"/>
      <c r="H79" s="796"/>
    </row>
    <row r="80" spans="1:9" ht="12.75" customHeight="1" x14ac:dyDescent="0.2">
      <c r="A80" s="294" t="s">
        <v>449</v>
      </c>
      <c r="B80" s="294" t="s">
        <v>450</v>
      </c>
      <c r="C80" s="294" t="s">
        <v>451</v>
      </c>
      <c r="D80" s="796" t="s">
        <v>452</v>
      </c>
      <c r="E80" s="796"/>
      <c r="F80" s="796"/>
      <c r="G80" s="796"/>
      <c r="H80" s="796"/>
    </row>
    <row r="81" spans="1:8" ht="12.75" customHeight="1" x14ac:dyDescent="0.2">
      <c r="A81" s="797" t="s">
        <v>703</v>
      </c>
      <c r="B81" s="598" t="s">
        <v>454</v>
      </c>
      <c r="C81" s="598" t="s">
        <v>130</v>
      </c>
      <c r="D81" s="602" t="s">
        <v>456</v>
      </c>
      <c r="E81" s="606" t="s">
        <v>457</v>
      </c>
      <c r="F81" s="607"/>
      <c r="G81" s="800"/>
      <c r="H81" s="800"/>
    </row>
    <row r="82" spans="1:8" ht="12.75" customHeight="1" x14ac:dyDescent="0.2">
      <c r="A82" s="798"/>
      <c r="B82" s="599"/>
      <c r="C82" s="599"/>
      <c r="D82" s="602"/>
      <c r="E82" s="606"/>
      <c r="F82" s="607"/>
      <c r="G82" s="800"/>
      <c r="H82" s="800"/>
    </row>
    <row r="83" spans="1:8" ht="12.75" customHeight="1" x14ac:dyDescent="0.2">
      <c r="A83" s="798"/>
      <c r="B83" s="599"/>
      <c r="C83" s="599"/>
      <c r="D83" s="602"/>
      <c r="E83" s="606"/>
      <c r="F83" s="607"/>
      <c r="G83" s="800"/>
      <c r="H83" s="800"/>
    </row>
    <row r="84" spans="1:8" ht="12.75" customHeight="1" x14ac:dyDescent="0.2">
      <c r="A84" s="798"/>
      <c r="B84" s="599"/>
      <c r="C84" s="599"/>
      <c r="D84" s="602"/>
      <c r="E84" s="606"/>
      <c r="F84" s="607"/>
      <c r="G84" s="800"/>
      <c r="H84" s="800"/>
    </row>
    <row r="85" spans="1:8" ht="12.75" customHeight="1" x14ac:dyDescent="0.2">
      <c r="A85" s="798"/>
      <c r="B85" s="599"/>
      <c r="C85" s="599"/>
      <c r="D85" s="603"/>
      <c r="E85" s="608"/>
      <c r="F85" s="609"/>
      <c r="G85" s="800"/>
      <c r="H85" s="800"/>
    </row>
    <row r="86" spans="1:8" ht="12.75" customHeight="1" x14ac:dyDescent="0.2">
      <c r="A86" s="798"/>
      <c r="B86" s="599"/>
      <c r="C86" s="599"/>
      <c r="D86" s="601" t="s">
        <v>458</v>
      </c>
      <c r="E86" s="604" t="s">
        <v>459</v>
      </c>
      <c r="F86" s="605"/>
      <c r="G86" s="800"/>
      <c r="H86" s="800"/>
    </row>
    <row r="87" spans="1:8" ht="12.75" customHeight="1" x14ac:dyDescent="0.2">
      <c r="A87" s="798"/>
      <c r="B87" s="599"/>
      <c r="C87" s="599"/>
      <c r="D87" s="602"/>
      <c r="E87" s="606"/>
      <c r="F87" s="607"/>
      <c r="G87" s="800"/>
      <c r="H87" s="800"/>
    </row>
    <row r="88" spans="1:8" ht="12.75" customHeight="1" x14ac:dyDescent="0.2">
      <c r="A88" s="798"/>
      <c r="B88" s="599"/>
      <c r="C88" s="599"/>
      <c r="D88" s="602"/>
      <c r="E88" s="606"/>
      <c r="F88" s="607"/>
      <c r="G88" s="800"/>
      <c r="H88" s="800"/>
    </row>
    <row r="89" spans="1:8" ht="12.75" customHeight="1" x14ac:dyDescent="0.2">
      <c r="A89" s="798"/>
      <c r="B89" s="599"/>
      <c r="C89" s="599"/>
      <c r="D89" s="602"/>
      <c r="E89" s="606"/>
      <c r="F89" s="607"/>
      <c r="G89" s="800"/>
      <c r="H89" s="800"/>
    </row>
    <row r="90" spans="1:8" ht="12.75" customHeight="1" x14ac:dyDescent="0.2">
      <c r="A90" s="798"/>
      <c r="B90" s="599"/>
      <c r="C90" s="599"/>
      <c r="D90" s="603"/>
      <c r="E90" s="608"/>
      <c r="F90" s="609"/>
      <c r="G90" s="800"/>
      <c r="H90" s="800"/>
    </row>
    <row r="91" spans="1:8" ht="12.75" customHeight="1" x14ac:dyDescent="0.2">
      <c r="A91" s="798"/>
      <c r="B91" s="599"/>
      <c r="C91" s="599"/>
      <c r="D91" s="601" t="s">
        <v>460</v>
      </c>
      <c r="E91" s="604" t="s">
        <v>461</v>
      </c>
      <c r="F91" s="605"/>
      <c r="G91" s="800"/>
      <c r="H91" s="800"/>
    </row>
    <row r="92" spans="1:8" ht="12.75" customHeight="1" x14ac:dyDescent="0.2">
      <c r="A92" s="798"/>
      <c r="B92" s="599"/>
      <c r="C92" s="599"/>
      <c r="D92" s="602"/>
      <c r="E92" s="606"/>
      <c r="F92" s="607"/>
      <c r="G92" s="800"/>
      <c r="H92" s="800"/>
    </row>
    <row r="93" spans="1:8" ht="12.75" customHeight="1" x14ac:dyDescent="0.2">
      <c r="A93" s="798"/>
      <c r="B93" s="599"/>
      <c r="C93" s="599"/>
      <c r="D93" s="602"/>
      <c r="E93" s="606"/>
      <c r="F93" s="607"/>
      <c r="G93" s="800"/>
      <c r="H93" s="800"/>
    </row>
    <row r="94" spans="1:8" ht="12.75" customHeight="1" x14ac:dyDescent="0.2">
      <c r="A94" s="798"/>
      <c r="B94" s="599"/>
      <c r="C94" s="599"/>
      <c r="D94" s="602"/>
      <c r="E94" s="606"/>
      <c r="F94" s="607"/>
      <c r="G94" s="800"/>
      <c r="H94" s="800"/>
    </row>
    <row r="95" spans="1:8" ht="12.75" customHeight="1" x14ac:dyDescent="0.2">
      <c r="A95" s="798"/>
      <c r="B95" s="599"/>
      <c r="C95" s="599"/>
      <c r="D95" s="602"/>
      <c r="E95" s="608"/>
      <c r="F95" s="609"/>
      <c r="G95" s="800"/>
      <c r="H95" s="800"/>
    </row>
    <row r="96" spans="1:8" ht="12.75" customHeight="1" x14ac:dyDescent="0.2">
      <c r="A96" s="798"/>
      <c r="B96" s="599"/>
      <c r="C96" s="599"/>
      <c r="D96" s="602"/>
      <c r="E96" s="604" t="s">
        <v>462</v>
      </c>
      <c r="F96" s="605"/>
      <c r="G96" s="774"/>
      <c r="H96" s="776"/>
    </row>
    <row r="97" spans="1:8" ht="12.75" customHeight="1" x14ac:dyDescent="0.2">
      <c r="A97" s="798"/>
      <c r="B97" s="599"/>
      <c r="C97" s="599"/>
      <c r="D97" s="602"/>
      <c r="E97" s="608"/>
      <c r="F97" s="609"/>
      <c r="G97" s="777"/>
      <c r="H97" s="779"/>
    </row>
    <row r="98" spans="1:8" ht="12.75" customHeight="1" x14ac:dyDescent="0.2">
      <c r="A98" s="798"/>
      <c r="B98" s="599"/>
      <c r="C98" s="599"/>
      <c r="D98" s="602"/>
      <c r="E98" s="604" t="s">
        <v>463</v>
      </c>
      <c r="F98" s="605"/>
      <c r="G98" s="800"/>
      <c r="H98" s="800"/>
    </row>
    <row r="99" spans="1:8" ht="12.75" customHeight="1" x14ac:dyDescent="0.2">
      <c r="A99" s="798"/>
      <c r="B99" s="599"/>
      <c r="C99" s="599"/>
      <c r="D99" s="602"/>
      <c r="E99" s="606"/>
      <c r="F99" s="607"/>
      <c r="G99" s="800"/>
      <c r="H99" s="800"/>
    </row>
    <row r="100" spans="1:8" ht="12.75" customHeight="1" x14ac:dyDescent="0.2">
      <c r="A100" s="798"/>
      <c r="B100" s="599"/>
      <c r="C100" s="599"/>
      <c r="D100" s="602"/>
      <c r="E100" s="606"/>
      <c r="F100" s="607"/>
      <c r="G100" s="800"/>
      <c r="H100" s="800"/>
    </row>
    <row r="101" spans="1:8" ht="12.75" customHeight="1" x14ac:dyDescent="0.2">
      <c r="A101" s="798"/>
      <c r="B101" s="599"/>
      <c r="C101" s="599"/>
      <c r="D101" s="602"/>
      <c r="E101" s="606"/>
      <c r="F101" s="607"/>
      <c r="G101" s="800"/>
      <c r="H101" s="800"/>
    </row>
    <row r="102" spans="1:8" ht="12.75" customHeight="1" x14ac:dyDescent="0.2">
      <c r="A102" s="798"/>
      <c r="B102" s="599"/>
      <c r="C102" s="599"/>
      <c r="D102" s="602"/>
      <c r="E102" s="608"/>
      <c r="F102" s="609"/>
      <c r="G102" s="800"/>
      <c r="H102" s="800"/>
    </row>
    <row r="103" spans="1:8" ht="12.75" customHeight="1" x14ac:dyDescent="0.2">
      <c r="A103" s="798"/>
      <c r="B103" s="599"/>
      <c r="C103" s="599"/>
      <c r="D103" s="602"/>
      <c r="E103" s="604" t="s">
        <v>464</v>
      </c>
      <c r="F103" s="605"/>
      <c r="G103" s="774"/>
      <c r="H103" s="776"/>
    </row>
    <row r="104" spans="1:8" ht="12.75" customHeight="1" x14ac:dyDescent="0.2">
      <c r="A104" s="798"/>
      <c r="B104" s="599"/>
      <c r="C104" s="599"/>
      <c r="D104" s="603"/>
      <c r="E104" s="608"/>
      <c r="F104" s="609"/>
      <c r="G104" s="777"/>
      <c r="H104" s="779"/>
    </row>
    <row r="105" spans="1:8" ht="12.75" customHeight="1" x14ac:dyDescent="0.2">
      <c r="A105" s="798"/>
      <c r="B105" s="599"/>
      <c r="C105" s="599"/>
      <c r="D105" s="601" t="s">
        <v>465</v>
      </c>
      <c r="E105" s="604" t="s">
        <v>466</v>
      </c>
      <c r="F105" s="605"/>
      <c r="G105" s="800"/>
      <c r="H105" s="800"/>
    </row>
    <row r="106" spans="1:8" ht="12.75" customHeight="1" x14ac:dyDescent="0.2">
      <c r="A106" s="798"/>
      <c r="B106" s="599"/>
      <c r="C106" s="599"/>
      <c r="D106" s="602"/>
      <c r="E106" s="606"/>
      <c r="F106" s="607"/>
      <c r="G106" s="800"/>
      <c r="H106" s="800"/>
    </row>
    <row r="107" spans="1:8" ht="12.75" customHeight="1" x14ac:dyDescent="0.2">
      <c r="A107" s="798"/>
      <c r="B107" s="599"/>
      <c r="C107" s="599"/>
      <c r="D107" s="602"/>
      <c r="E107" s="606"/>
      <c r="F107" s="607"/>
      <c r="G107" s="800"/>
      <c r="H107" s="800"/>
    </row>
    <row r="108" spans="1:8" ht="12.75" customHeight="1" x14ac:dyDescent="0.2">
      <c r="A108" s="798"/>
      <c r="B108" s="599"/>
      <c r="C108" s="599"/>
      <c r="D108" s="602"/>
      <c r="E108" s="606"/>
      <c r="F108" s="607"/>
      <c r="G108" s="800"/>
      <c r="H108" s="800"/>
    </row>
    <row r="109" spans="1:8" ht="12.75" customHeight="1" x14ac:dyDescent="0.2">
      <c r="A109" s="798"/>
      <c r="B109" s="599"/>
      <c r="C109" s="599"/>
      <c r="D109" s="602"/>
      <c r="E109" s="608"/>
      <c r="F109" s="609"/>
      <c r="G109" s="800"/>
      <c r="H109" s="800"/>
    </row>
    <row r="110" spans="1:8" ht="12.75" customHeight="1" x14ac:dyDescent="0.2">
      <c r="A110" s="798"/>
      <c r="B110" s="599"/>
      <c r="C110" s="599"/>
      <c r="D110" s="602"/>
      <c r="E110" s="604" t="s">
        <v>467</v>
      </c>
      <c r="F110" s="605"/>
      <c r="G110" s="774"/>
      <c r="H110" s="776"/>
    </row>
    <row r="111" spans="1:8" ht="12.75" customHeight="1" x14ac:dyDescent="0.2">
      <c r="A111" s="799"/>
      <c r="B111" s="600"/>
      <c r="C111" s="600"/>
      <c r="D111" s="603"/>
      <c r="E111" s="608"/>
      <c r="F111" s="609"/>
      <c r="G111" s="777"/>
      <c r="H111" s="779"/>
    </row>
    <row r="112" spans="1:8" ht="12.75" customHeight="1" x14ac:dyDescent="0.2">
      <c r="A112" s="598" t="s">
        <v>453</v>
      </c>
      <c r="B112" s="598" t="s">
        <v>468</v>
      </c>
      <c r="C112" s="598" t="s">
        <v>455</v>
      </c>
      <c r="D112" s="620" t="s">
        <v>456</v>
      </c>
      <c r="E112" s="623" t="s">
        <v>469</v>
      </c>
      <c r="F112" s="624"/>
      <c r="G112" s="801" t="s">
        <v>455</v>
      </c>
      <c r="H112" s="801"/>
    </row>
    <row r="113" spans="1:8" ht="12.75" customHeight="1" x14ac:dyDescent="0.2">
      <c r="A113" s="599"/>
      <c r="B113" s="599"/>
      <c r="C113" s="599"/>
      <c r="D113" s="621"/>
      <c r="E113" s="625"/>
      <c r="F113" s="626"/>
      <c r="G113" s="801"/>
      <c r="H113" s="801"/>
    </row>
    <row r="114" spans="1:8" ht="12.75" customHeight="1" x14ac:dyDescent="0.2">
      <c r="A114" s="599"/>
      <c r="B114" s="599"/>
      <c r="C114" s="599"/>
      <c r="D114" s="621"/>
      <c r="E114" s="625"/>
      <c r="F114" s="626"/>
      <c r="G114" s="801"/>
      <c r="H114" s="801"/>
    </row>
    <row r="115" spans="1:8" ht="12.75" customHeight="1" x14ac:dyDescent="0.2">
      <c r="A115" s="599"/>
      <c r="B115" s="599"/>
      <c r="C115" s="599"/>
      <c r="D115" s="621"/>
      <c r="E115" s="625"/>
      <c r="F115" s="626"/>
      <c r="G115" s="801"/>
      <c r="H115" s="801"/>
    </row>
    <row r="116" spans="1:8" ht="12.75" customHeight="1" x14ac:dyDescent="0.2">
      <c r="A116" s="600"/>
      <c r="B116" s="600"/>
      <c r="C116" s="600"/>
      <c r="D116" s="622"/>
      <c r="E116" s="627"/>
      <c r="F116" s="628"/>
      <c r="G116" s="801"/>
      <c r="H116" s="801"/>
    </row>
  </sheetData>
  <sheetProtection algorithmName="SHA-512" hashValue="NmoVssJfrah9YypA+HLZIyADJVkr6rmeuwyyod+lvHPBmcAPdf978InhILiV3BVplKt2ukQNKRhiXMabybw6dA==" saltValue="yY3zfG/bgv44KBouQZ5dWA==" spinCount="100000" sheet="1" objects="1" scenarios="1"/>
  <mergeCells count="139">
    <mergeCell ref="G112:H116"/>
    <mergeCell ref="D105:D111"/>
    <mergeCell ref="E105:F109"/>
    <mergeCell ref="G105:H109"/>
    <mergeCell ref="E110:F111"/>
    <mergeCell ref="G110:H111"/>
    <mergeCell ref="A112:A116"/>
    <mergeCell ref="B112:B116"/>
    <mergeCell ref="C112:C116"/>
    <mergeCell ref="D112:D116"/>
    <mergeCell ref="E112:F116"/>
    <mergeCell ref="D80:H80"/>
    <mergeCell ref="A81:A111"/>
    <mergeCell ref="B81:B111"/>
    <mergeCell ref="C81:C111"/>
    <mergeCell ref="D81:D85"/>
    <mergeCell ref="E81:F85"/>
    <mergeCell ref="G81:H85"/>
    <mergeCell ref="D86:D90"/>
    <mergeCell ref="E86:F90"/>
    <mergeCell ref="G86:H90"/>
    <mergeCell ref="D91:D104"/>
    <mergeCell ref="E91:F95"/>
    <mergeCell ref="G91:H95"/>
    <mergeCell ref="E96:F97"/>
    <mergeCell ref="G96:H97"/>
    <mergeCell ref="E98:F102"/>
    <mergeCell ref="G98:H102"/>
    <mergeCell ref="E103:F104"/>
    <mergeCell ref="G103:H104"/>
    <mergeCell ref="A73:B73"/>
    <mergeCell ref="A74:B75"/>
    <mergeCell ref="C74:H75"/>
    <mergeCell ref="A76:B77"/>
    <mergeCell ref="C76:H77"/>
    <mergeCell ref="A79:H79"/>
    <mergeCell ref="A70:B70"/>
    <mergeCell ref="C70:D70"/>
    <mergeCell ref="E70:F70"/>
    <mergeCell ref="G70:H70"/>
    <mergeCell ref="A71:B71"/>
    <mergeCell ref="C71:D71"/>
    <mergeCell ref="E71:F71"/>
    <mergeCell ref="G71:H71"/>
    <mergeCell ref="A69:B69"/>
    <mergeCell ref="C69:D69"/>
    <mergeCell ref="E69:F69"/>
    <mergeCell ref="G69:H69"/>
    <mergeCell ref="H58:H61"/>
    <mergeCell ref="A62:H62"/>
    <mergeCell ref="A63:A66"/>
    <mergeCell ref="B63:B66"/>
    <mergeCell ref="C63:C66"/>
    <mergeCell ref="D63:D66"/>
    <mergeCell ref="E63:E66"/>
    <mergeCell ref="F63:F66"/>
    <mergeCell ref="G63:G66"/>
    <mergeCell ref="H63:H66"/>
    <mergeCell ref="A57:H57"/>
    <mergeCell ref="A58:A61"/>
    <mergeCell ref="B58:B61"/>
    <mergeCell ref="C58:C61"/>
    <mergeCell ref="D58:D61"/>
    <mergeCell ref="E58:E61"/>
    <mergeCell ref="F58:F61"/>
    <mergeCell ref="G58:G61"/>
    <mergeCell ref="C68:D68"/>
    <mergeCell ref="E68:F68"/>
    <mergeCell ref="G68:H68"/>
    <mergeCell ref="A52:H52"/>
    <mergeCell ref="A53:A56"/>
    <mergeCell ref="B53:B56"/>
    <mergeCell ref="C53:C56"/>
    <mergeCell ref="D53:D56"/>
    <mergeCell ref="E53:E56"/>
    <mergeCell ref="F53:F56"/>
    <mergeCell ref="G53:G56"/>
    <mergeCell ref="H53:H56"/>
    <mergeCell ref="A44:B46"/>
    <mergeCell ref="C44:D46"/>
    <mergeCell ref="E44:F46"/>
    <mergeCell ref="G44:H46"/>
    <mergeCell ref="A48:A51"/>
    <mergeCell ref="B48:B51"/>
    <mergeCell ref="C48:C51"/>
    <mergeCell ref="D48:D51"/>
    <mergeCell ref="E48:E51"/>
    <mergeCell ref="F48:F51"/>
    <mergeCell ref="G48:G51"/>
    <mergeCell ref="H48:H51"/>
    <mergeCell ref="A41:B41"/>
    <mergeCell ref="C41:D41"/>
    <mergeCell ref="E41:F41"/>
    <mergeCell ref="G41:H41"/>
    <mergeCell ref="A42:B43"/>
    <mergeCell ref="C42:D43"/>
    <mergeCell ref="E42:F43"/>
    <mergeCell ref="G42:H43"/>
    <mergeCell ref="A32:B39"/>
    <mergeCell ref="C32:D39"/>
    <mergeCell ref="E32:F39"/>
    <mergeCell ref="G32:H39"/>
    <mergeCell ref="A40:B40"/>
    <mergeCell ref="C40:D40"/>
    <mergeCell ref="E40:F40"/>
    <mergeCell ref="G40:H40"/>
    <mergeCell ref="A27:B28"/>
    <mergeCell ref="C27:H28"/>
    <mergeCell ref="C30:D30"/>
    <mergeCell ref="E30:F30"/>
    <mergeCell ref="G30:H30"/>
    <mergeCell ref="A31:B31"/>
    <mergeCell ref="C31:D31"/>
    <mergeCell ref="E31:F31"/>
    <mergeCell ref="G31:H31"/>
    <mergeCell ref="A24:B24"/>
    <mergeCell ref="C24:H24"/>
    <mergeCell ref="A25:B25"/>
    <mergeCell ref="C25:H25"/>
    <mergeCell ref="A26:B26"/>
    <mergeCell ref="C26:H26"/>
    <mergeCell ref="A21:B21"/>
    <mergeCell ref="C21:H21"/>
    <mergeCell ref="A22:B22"/>
    <mergeCell ref="C22:H22"/>
    <mergeCell ref="A23:B23"/>
    <mergeCell ref="C23:H23"/>
    <mergeCell ref="A11:B14"/>
    <mergeCell ref="C11:H14"/>
    <mergeCell ref="A16:B19"/>
    <mergeCell ref="C16:H19"/>
    <mergeCell ref="A20:B20"/>
    <mergeCell ref="C20:H20"/>
    <mergeCell ref="A8:B8"/>
    <mergeCell ref="C8:H8"/>
    <mergeCell ref="A9:B9"/>
    <mergeCell ref="C9:H9"/>
    <mergeCell ref="A10:B10"/>
    <mergeCell ref="C10:H10"/>
  </mergeCells>
  <conditionalFormatting sqref="G103:H104">
    <cfRule type="containsText" dxfId="221" priority="4" operator="containsText" text="Yes">
      <formula>NOT(ISERROR(SEARCH("Yes",G103)))</formula>
    </cfRule>
    <cfRule type="containsText" dxfId="220" priority="5" operator="containsText" text="No">
      <formula>NOT(ISERROR(SEARCH("No",G103)))</formula>
    </cfRule>
    <cfRule type="containsText" dxfId="219" priority="6" operator="containsText" text="N/A">
      <formula>NOT(ISERROR(SEARCH("N/A",G103)))</formula>
    </cfRule>
  </conditionalFormatting>
  <conditionalFormatting sqref="G96:H97">
    <cfRule type="containsText" dxfId="218" priority="13" operator="containsText" text="Yes">
      <formula>NOT(ISERROR(SEARCH("Yes",G96)))</formula>
    </cfRule>
    <cfRule type="containsText" dxfId="217" priority="14" operator="containsText" text="No">
      <formula>NOT(ISERROR(SEARCH("No",G96)))</formula>
    </cfRule>
    <cfRule type="containsText" dxfId="216" priority="15" operator="containsText" text="N/A">
      <formula>NOT(ISERROR(SEARCH("N/A",G96)))</formula>
    </cfRule>
  </conditionalFormatting>
  <conditionalFormatting sqref="G110:H111">
    <cfRule type="containsText" dxfId="215" priority="1" operator="containsText" text="Yes">
      <formula>NOT(ISERROR(SEARCH("Yes",G110)))</formula>
    </cfRule>
    <cfRule type="containsText" dxfId="214" priority="2" operator="containsText" text="No">
      <formula>NOT(ISERROR(SEARCH("No",G110)))</formula>
    </cfRule>
    <cfRule type="containsText" dxfId="213" priority="3" operator="containsText" text="N/A">
      <formula>NOT(ISERROR(SEARCH("N/A",G110)))</formula>
    </cfRule>
  </conditionalFormatting>
  <pageMargins left="0.7" right="0.7" top="0.75" bottom="0.75" header="0.3" footer="0.3"/>
  <pageSetup scale="49" fitToHeight="0" orientation="landscape" r:id="rId1"/>
  <drawing r:id="rId2"/>
  <legacyDrawing r:id="rId3"/>
  <controls>
    <mc:AlternateContent xmlns:mc="http://schemas.openxmlformats.org/markup-compatibility/2006">
      <mc:Choice Requires="x14">
        <control shapeId="12289"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2289" r:id="rId4" name="backMenuBtn"/>
      </mc:Fallback>
    </mc:AlternateContent>
    <mc:AlternateContent xmlns:mc="http://schemas.openxmlformats.org/markup-compatibility/2006">
      <mc:Choice Requires="x14">
        <control shapeId="12290" r:id="rId6" name="CommandButton1">
          <controlPr defaultSize="0" autoLine="0" r:id="rId7">
            <anchor moveWithCells="1">
              <from>
                <xdr:col>1</xdr:col>
                <xdr:colOff>638175</xdr:colOff>
                <xdr:row>0</xdr:row>
                <xdr:rowOff>0</xdr:rowOff>
              </from>
              <to>
                <xdr:col>1</xdr:col>
                <xdr:colOff>1838325</xdr:colOff>
                <xdr:row>1</xdr:row>
                <xdr:rowOff>114300</xdr:rowOff>
              </to>
            </anchor>
          </controlPr>
        </control>
      </mc:Choice>
      <mc:Fallback>
        <control shapeId="12290" r:id="rId6" name="CommandButton1"/>
      </mc:Fallback>
    </mc:AlternateContent>
    <mc:AlternateContent xmlns:mc="http://schemas.openxmlformats.org/markup-compatibility/2006">
      <mc:Choice Requires="x14">
        <control shapeId="12291" r:id="rId8" name="CommandButton2">
          <controlPr defaultSize="0" autoLine="0" r:id="rId9">
            <anchor moveWithCells="1">
              <from>
                <xdr:col>0</xdr:col>
                <xdr:colOff>1343025</xdr:colOff>
                <xdr:row>0</xdr:row>
                <xdr:rowOff>9525</xdr:rowOff>
              </from>
              <to>
                <xdr:col>1</xdr:col>
                <xdr:colOff>504825</xdr:colOff>
                <xdr:row>1</xdr:row>
                <xdr:rowOff>123825</xdr:rowOff>
              </to>
            </anchor>
          </controlPr>
        </control>
      </mc:Choice>
      <mc:Fallback>
        <control shapeId="12291"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Dropdown!$I$2:$I$5</xm:f>
          </x14:formula1>
          <xm:sqref>G96:H97 G103:H104 G110:H111</xm:sqref>
        </x14:dataValidation>
        <x14:dataValidation type="list" allowBlank="1" showInputMessage="1" showErrorMessage="1">
          <x14:formula1>
            <xm:f>Dropdown!$H$2:$H$13</xm:f>
          </x14:formula1>
          <xm:sqref>C44:H46 C71:H71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50"/>
    <pageSetUpPr fitToPage="1"/>
  </sheetPr>
  <dimension ref="A1:J260"/>
  <sheetViews>
    <sheetView showGridLines="0" zoomScale="85" zoomScaleNormal="85" zoomScalePageLayoutView="60" workbookViewId="0">
      <pane xSplit="3" ySplit="14" topLeftCell="D15" activePane="bottomRight" state="frozen"/>
      <selection activeCell="C156" sqref="C156"/>
      <selection pane="topRight" activeCell="C156" sqref="C156"/>
      <selection pane="bottomLeft" activeCell="C156" sqref="C156"/>
      <selection pane="bottomRight" activeCell="A156" sqref="A156:I156"/>
    </sheetView>
  </sheetViews>
  <sheetFormatPr defaultColWidth="9.42578125" defaultRowHeight="12.75" customHeight="1" outlineLevelRow="1" x14ac:dyDescent="0.2"/>
  <cols>
    <col min="1" max="3" width="20.5703125" style="267" customWidth="1"/>
    <col min="4" max="9" width="30.5703125" style="267" customWidth="1"/>
    <col min="10" max="10" width="1.5703125" style="267" customWidth="1"/>
    <col min="11" max="16384" width="9.42578125" style="267"/>
  </cols>
  <sheetData>
    <row r="1" spans="1:9" ht="12.75" customHeight="1" x14ac:dyDescent="0.2">
      <c r="A1" s="267" t="s">
        <v>794</v>
      </c>
    </row>
    <row r="3" spans="1:9" ht="12.75" customHeight="1" outlineLevel="1" x14ac:dyDescent="0.2">
      <c r="A3" s="266" t="str">
        <f>Narrative!A3</f>
        <v>ViewRay</v>
      </c>
      <c r="B3" s="266"/>
    </row>
    <row r="4" spans="1:9" ht="12.75" customHeight="1" outlineLevel="1" x14ac:dyDescent="0.2">
      <c r="A4" s="268" t="s">
        <v>394</v>
      </c>
      <c r="B4" s="268"/>
    </row>
    <row r="5" spans="1:9" ht="12.75" customHeight="1" outlineLevel="1" x14ac:dyDescent="0.2">
      <c r="A5" s="266" t="str">
        <f>Narrative!A5</f>
        <v>Financial Close and Reporting (FCR)</v>
      </c>
      <c r="B5" s="266"/>
    </row>
    <row r="6" spans="1:9" ht="12.75" customHeight="1" outlineLevel="1" x14ac:dyDescent="0.2">
      <c r="A6" s="266" t="str">
        <f>Narrative!A6</f>
        <v>FY 2019</v>
      </c>
      <c r="B6" s="266"/>
    </row>
    <row r="7" spans="1:9" ht="12.75" customHeight="1" outlineLevel="1" x14ac:dyDescent="0.2">
      <c r="A7" s="269"/>
      <c r="B7" s="269"/>
      <c r="C7" s="269"/>
      <c r="D7" s="270"/>
      <c r="E7" s="270"/>
      <c r="F7" s="270"/>
      <c r="G7" s="270"/>
      <c r="H7" s="270"/>
      <c r="I7" s="271"/>
    </row>
    <row r="8" spans="1:9" ht="12.75" customHeight="1" x14ac:dyDescent="0.2">
      <c r="A8" s="473" t="s">
        <v>395</v>
      </c>
      <c r="B8" s="705"/>
      <c r="C8" s="474"/>
      <c r="D8" s="470" t="str">
        <f>RCM!A11</f>
        <v>FCR</v>
      </c>
      <c r="E8" s="471"/>
      <c r="F8" s="471"/>
      <c r="G8" s="471"/>
      <c r="H8" s="471"/>
      <c r="I8" s="472"/>
    </row>
    <row r="9" spans="1:9" ht="12.75" customHeight="1" x14ac:dyDescent="0.2">
      <c r="A9" s="466" t="s">
        <v>396</v>
      </c>
      <c r="B9" s="466"/>
      <c r="C9" s="475"/>
      <c r="D9" s="470" t="str">
        <f>VLOOKUP($D$10,RCM!J:X,4,0)</f>
        <v>Accounting Manger</v>
      </c>
      <c r="E9" s="471"/>
      <c r="F9" s="471"/>
      <c r="G9" s="471"/>
      <c r="H9" s="471"/>
      <c r="I9" s="472"/>
    </row>
    <row r="10" spans="1:9" ht="12.75" customHeight="1" x14ac:dyDescent="0.2">
      <c r="A10" s="459" t="s">
        <v>397</v>
      </c>
      <c r="B10" s="459"/>
      <c r="C10" s="476"/>
      <c r="D10" s="470" t="str">
        <f>RCM!J15</f>
        <v>FCR 3.09</v>
      </c>
      <c r="E10" s="471"/>
      <c r="F10" s="471"/>
      <c r="G10" s="471"/>
      <c r="H10" s="471"/>
      <c r="I10" s="472"/>
    </row>
    <row r="11" spans="1:9" ht="12.75" customHeight="1" x14ac:dyDescent="0.2">
      <c r="A11" s="459" t="s">
        <v>398</v>
      </c>
      <c r="B11" s="459"/>
      <c r="C11" s="459"/>
      <c r="D11" s="460" t="str">
        <f>VLOOKUP($D$10,RCM!J:X,2,0)</f>
        <v xml:space="preserve">The Accounting Manager or delegate reviews and approves the monthly non-materials accrual journal entries for completeness and accuracy. The review includes ensuring that accrued expenses are not duplicated in the AP Aging, the notes on the Accrual workbook are properly supported.  The review is evidenced by review notes and sign-off is evidence of approval.  Refer to section INV 3.00 for the key control over the materials accrual. </v>
      </c>
      <c r="E11" s="461"/>
      <c r="F11" s="461"/>
      <c r="G11" s="461"/>
      <c r="H11" s="461"/>
      <c r="I11" s="462"/>
    </row>
    <row r="12" spans="1:9" ht="12.75" customHeight="1" x14ac:dyDescent="0.2">
      <c r="A12" s="459"/>
      <c r="B12" s="459"/>
      <c r="C12" s="459"/>
      <c r="D12" s="467"/>
      <c r="E12" s="468"/>
      <c r="F12" s="468"/>
      <c r="G12" s="468"/>
      <c r="H12" s="468"/>
      <c r="I12" s="469"/>
    </row>
    <row r="13" spans="1:9" ht="12.75" customHeight="1" x14ac:dyDescent="0.2">
      <c r="A13" s="459"/>
      <c r="B13" s="459"/>
      <c r="C13" s="459"/>
      <c r="D13" s="467"/>
      <c r="E13" s="468"/>
      <c r="F13" s="468"/>
      <c r="G13" s="468"/>
      <c r="H13" s="468"/>
      <c r="I13" s="469"/>
    </row>
    <row r="14" spans="1:9" ht="12.75" customHeight="1" x14ac:dyDescent="0.2">
      <c r="A14" s="459"/>
      <c r="B14" s="459"/>
      <c r="C14" s="459"/>
      <c r="D14" s="463" t="e">
        <v>#N/A</v>
      </c>
      <c r="E14" s="464"/>
      <c r="F14" s="464"/>
      <c r="G14" s="464"/>
      <c r="H14" s="464"/>
      <c r="I14" s="465"/>
    </row>
    <row r="15" spans="1:9" ht="12.75" customHeight="1" x14ac:dyDescent="0.2">
      <c r="A15" s="272"/>
      <c r="B15" s="272"/>
      <c r="C15" s="273"/>
      <c r="D15" s="274"/>
      <c r="E15" s="274"/>
      <c r="F15" s="274"/>
      <c r="G15" s="274"/>
      <c r="H15" s="274"/>
      <c r="I15" s="271"/>
    </row>
    <row r="16" spans="1:9" ht="12.75" customHeight="1" x14ac:dyDescent="0.2">
      <c r="A16" s="466" t="s">
        <v>399</v>
      </c>
      <c r="B16" s="466"/>
      <c r="C16" s="466"/>
      <c r="D16" s="460" t="str">
        <f>VLOOKUP($D$10,RCM!J:X,12,)</f>
        <v>1. Obtain the final non-materials accrual JE, AP Aging and accrual supporting documents for the selected period.
2. Ensure the accruals are supported / explained
3. Review follow up and notes to ensure it was captured in the accrual
4. Verify evidence of review and approval by the Accounting Manager or delegate.</v>
      </c>
      <c r="E16" s="461"/>
      <c r="F16" s="461"/>
      <c r="G16" s="461"/>
      <c r="H16" s="461"/>
      <c r="I16" s="462"/>
    </row>
    <row r="17" spans="1:9" ht="12.75" customHeight="1" x14ac:dyDescent="0.2">
      <c r="A17" s="466"/>
      <c r="B17" s="466"/>
      <c r="C17" s="466"/>
      <c r="D17" s="467"/>
      <c r="E17" s="468"/>
      <c r="F17" s="468"/>
      <c r="G17" s="468"/>
      <c r="H17" s="468"/>
      <c r="I17" s="469"/>
    </row>
    <row r="18" spans="1:9" ht="12.75" customHeight="1" x14ac:dyDescent="0.2">
      <c r="A18" s="466"/>
      <c r="B18" s="466"/>
      <c r="C18" s="466"/>
      <c r="D18" s="467"/>
      <c r="E18" s="468"/>
      <c r="F18" s="468"/>
      <c r="G18" s="468"/>
      <c r="H18" s="468"/>
      <c r="I18" s="469"/>
    </row>
    <row r="19" spans="1:9" ht="12.75" customHeight="1" x14ac:dyDescent="0.2">
      <c r="A19" s="466"/>
      <c r="B19" s="466"/>
      <c r="C19" s="466"/>
      <c r="D19" s="467"/>
      <c r="E19" s="468"/>
      <c r="F19" s="468"/>
      <c r="G19" s="468"/>
      <c r="H19" s="468"/>
      <c r="I19" s="469"/>
    </row>
    <row r="20" spans="1:9" ht="12.75" customHeight="1" x14ac:dyDescent="0.2">
      <c r="A20" s="466"/>
      <c r="B20" s="466"/>
      <c r="C20" s="466"/>
      <c r="D20" s="463" t="e">
        <v>#N/A</v>
      </c>
      <c r="E20" s="464"/>
      <c r="F20" s="464"/>
      <c r="G20" s="464"/>
      <c r="H20" s="464"/>
      <c r="I20" s="465"/>
    </row>
    <row r="21" spans="1:9" ht="12.75" customHeight="1" x14ac:dyDescent="0.2">
      <c r="A21" s="466" t="s">
        <v>400</v>
      </c>
      <c r="B21" s="466"/>
      <c r="C21" s="466"/>
      <c r="D21" s="470" t="str">
        <f>VLOOKUP($D$10,RCM!J:X,8,0)</f>
        <v>Inspection</v>
      </c>
      <c r="E21" s="471"/>
      <c r="F21" s="471"/>
      <c r="G21" s="471"/>
      <c r="H21" s="471"/>
      <c r="I21" s="472"/>
    </row>
    <row r="22" spans="1:9" ht="12.75" customHeight="1" x14ac:dyDescent="0.2">
      <c r="A22" s="466" t="s">
        <v>401</v>
      </c>
      <c r="B22" s="466"/>
      <c r="C22" s="475"/>
      <c r="D22" s="480" t="str">
        <f>VLOOKUP($D$10,RCM!J:X,5,0)</f>
        <v>Monthly</v>
      </c>
      <c r="E22" s="481"/>
      <c r="F22" s="481"/>
      <c r="G22" s="481"/>
      <c r="H22" s="481"/>
      <c r="I22" s="482"/>
    </row>
    <row r="23" spans="1:9" ht="12.75" customHeight="1" x14ac:dyDescent="0.2">
      <c r="A23" s="466" t="s">
        <v>402</v>
      </c>
      <c r="B23" s="466"/>
      <c r="C23" s="475"/>
      <c r="D23" s="786">
        <f>VLOOKUP($D$10,RCM!J:X,3,0)</f>
        <v>42186</v>
      </c>
      <c r="E23" s="786"/>
      <c r="F23" s="786"/>
      <c r="G23" s="786"/>
      <c r="H23" s="786"/>
      <c r="I23" s="786"/>
    </row>
    <row r="24" spans="1:9" s="275" customFormat="1" ht="12.75" customHeight="1" x14ac:dyDescent="0.2">
      <c r="A24" s="466" t="s">
        <v>403</v>
      </c>
      <c r="B24" s="466"/>
      <c r="C24" s="475"/>
      <c r="D24" s="480" t="str">
        <f>VLOOKUP($D$10,RCM!J:X,10,0)</f>
        <v xml:space="preserve">Medium </v>
      </c>
      <c r="E24" s="481"/>
      <c r="F24" s="481"/>
      <c r="G24" s="481"/>
      <c r="H24" s="481"/>
      <c r="I24" s="482"/>
    </row>
    <row r="25" spans="1:9" ht="12.75" customHeight="1" x14ac:dyDescent="0.2">
      <c r="A25" s="466" t="s">
        <v>404</v>
      </c>
      <c r="B25" s="466"/>
      <c r="C25" s="475"/>
      <c r="D25" s="477" t="str">
        <f>RCM!$AB$3</f>
        <v>1/1/19 - 6/30/19</v>
      </c>
      <c r="E25" s="478"/>
      <c r="F25" s="478"/>
      <c r="G25" s="478"/>
      <c r="H25" s="478"/>
      <c r="I25" s="479"/>
    </row>
    <row r="26" spans="1:9" ht="12.75" customHeight="1" x14ac:dyDescent="0.2">
      <c r="A26" s="466" t="s">
        <v>405</v>
      </c>
      <c r="B26" s="466"/>
      <c r="C26" s="475"/>
      <c r="D26" s="706">
        <f>VLOOKUP(D$10,RCM!$J$9:$AG$29,20,0)</f>
        <v>12</v>
      </c>
      <c r="E26" s="707"/>
      <c r="F26" s="707"/>
      <c r="G26" s="707"/>
      <c r="H26" s="707"/>
      <c r="I26" s="708"/>
    </row>
    <row r="27" spans="1:9" ht="12.75" customHeight="1" x14ac:dyDescent="0.2">
      <c r="A27" s="466" t="s">
        <v>406</v>
      </c>
      <c r="B27" s="466"/>
      <c r="C27" s="475"/>
      <c r="D27" s="483" t="str">
        <f>RCM!$AB$5&amp;" "&amp;VLOOKUP(D$10,RCM!$J$9:$AG$29,21,0)&amp;" "&amp;RCM!$AB$6</f>
        <v>Annual sample size: 15 (See sample size derivation below)</v>
      </c>
      <c r="E27" s="484"/>
      <c r="F27" s="484"/>
      <c r="G27" s="484"/>
      <c r="H27" s="484"/>
      <c r="I27" s="485"/>
    </row>
    <row r="28" spans="1:9" ht="12.75" customHeight="1" x14ac:dyDescent="0.2">
      <c r="A28" s="466" t="s">
        <v>407</v>
      </c>
      <c r="B28" s="466"/>
      <c r="C28" s="466"/>
      <c r="D28" s="802" t="s">
        <v>558</v>
      </c>
      <c r="E28" s="802"/>
      <c r="F28" s="802"/>
      <c r="G28" s="802"/>
      <c r="H28" s="802"/>
      <c r="I28" s="802"/>
    </row>
    <row r="29" spans="1:9" ht="12.75" customHeight="1" x14ac:dyDescent="0.2">
      <c r="A29" s="466"/>
      <c r="B29" s="466"/>
      <c r="C29" s="466"/>
      <c r="D29" s="802"/>
      <c r="E29" s="802"/>
      <c r="F29" s="802"/>
      <c r="G29" s="802"/>
      <c r="H29" s="802"/>
      <c r="I29" s="802"/>
    </row>
    <row r="30" spans="1:9" s="275" customFormat="1" ht="12.75" customHeight="1" x14ac:dyDescent="0.2">
      <c r="A30" s="466"/>
      <c r="B30" s="466"/>
      <c r="C30" s="466"/>
      <c r="D30" s="802"/>
      <c r="E30" s="802"/>
      <c r="F30" s="802"/>
      <c r="G30" s="802"/>
      <c r="H30" s="802"/>
      <c r="I30" s="802"/>
    </row>
    <row r="31" spans="1:9" ht="12.75" customHeight="1" x14ac:dyDescent="0.2">
      <c r="A31" s="277"/>
      <c r="B31" s="277"/>
      <c r="C31" s="277"/>
      <c r="D31" s="295"/>
      <c r="E31" s="295"/>
      <c r="F31" s="295"/>
      <c r="G31" s="295"/>
      <c r="H31" s="295"/>
      <c r="I31" s="295"/>
    </row>
    <row r="32" spans="1:9" ht="12.75" customHeight="1" x14ac:dyDescent="0.2">
      <c r="A32" s="279"/>
      <c r="B32" s="279"/>
      <c r="C32" s="279"/>
      <c r="D32" s="506" t="s">
        <v>409</v>
      </c>
      <c r="E32" s="507"/>
      <c r="F32" s="506" t="s">
        <v>410</v>
      </c>
      <c r="G32" s="507"/>
      <c r="H32" s="506" t="s">
        <v>411</v>
      </c>
      <c r="I32" s="507"/>
    </row>
    <row r="33" spans="1:9" ht="12.75" customHeight="1" x14ac:dyDescent="0.2">
      <c r="A33" s="508" t="s">
        <v>412</v>
      </c>
      <c r="B33" s="508"/>
      <c r="C33" s="509"/>
      <c r="D33" s="510">
        <f>VLOOKUP($D$10,RCM!$J$9:$AG$29,22,0)</f>
        <v>9</v>
      </c>
      <c r="E33" s="712"/>
      <c r="F33" s="510">
        <f>VLOOKUP($D$10,RCM!$J$9:$AG$29,23,0)</f>
        <v>4</v>
      </c>
      <c r="G33" s="712"/>
      <c r="H33" s="510">
        <f>VLOOKUP($D$10,RCM!$J$9:$AG$29,24,0)</f>
        <v>1</v>
      </c>
      <c r="I33" s="712"/>
    </row>
    <row r="34" spans="1:9" ht="12.75" customHeight="1" outlineLevel="1" x14ac:dyDescent="0.2">
      <c r="A34" s="523" t="s">
        <v>413</v>
      </c>
      <c r="B34" s="524"/>
      <c r="C34" s="524"/>
      <c r="D34" s="529" t="s">
        <v>559</v>
      </c>
      <c r="E34" s="716"/>
      <c r="F34" s="721"/>
      <c r="G34" s="716"/>
      <c r="H34" s="722"/>
      <c r="I34" s="723"/>
    </row>
    <row r="35" spans="1:9" ht="12.75" customHeight="1" outlineLevel="1" x14ac:dyDescent="0.2">
      <c r="A35" s="525"/>
      <c r="B35" s="526"/>
      <c r="C35" s="526"/>
      <c r="D35" s="717"/>
      <c r="E35" s="718"/>
      <c r="F35" s="717"/>
      <c r="G35" s="718"/>
      <c r="H35" s="724"/>
      <c r="I35" s="725"/>
    </row>
    <row r="36" spans="1:9" ht="12.75" customHeight="1" outlineLevel="1" x14ac:dyDescent="0.2">
      <c r="A36" s="525"/>
      <c r="B36" s="526"/>
      <c r="C36" s="526"/>
      <c r="D36" s="717"/>
      <c r="E36" s="718"/>
      <c r="F36" s="717"/>
      <c r="G36" s="718"/>
      <c r="H36" s="724"/>
      <c r="I36" s="725"/>
    </row>
    <row r="37" spans="1:9" ht="12.75" customHeight="1" outlineLevel="1" x14ac:dyDescent="0.2">
      <c r="A37" s="525"/>
      <c r="B37" s="526"/>
      <c r="C37" s="526"/>
      <c r="D37" s="717"/>
      <c r="E37" s="718"/>
      <c r="F37" s="717"/>
      <c r="G37" s="718"/>
      <c r="H37" s="724"/>
      <c r="I37" s="725"/>
    </row>
    <row r="38" spans="1:9" ht="12.75" customHeight="1" outlineLevel="1" x14ac:dyDescent="0.2">
      <c r="A38" s="525"/>
      <c r="B38" s="526"/>
      <c r="C38" s="526"/>
      <c r="D38" s="717"/>
      <c r="E38" s="718"/>
      <c r="F38" s="717"/>
      <c r="G38" s="718"/>
      <c r="H38" s="724"/>
      <c r="I38" s="725"/>
    </row>
    <row r="39" spans="1:9" ht="12.75" customHeight="1" outlineLevel="1" x14ac:dyDescent="0.2">
      <c r="A39" s="525"/>
      <c r="B39" s="526"/>
      <c r="C39" s="526"/>
      <c r="D39" s="717"/>
      <c r="E39" s="718"/>
      <c r="F39" s="717"/>
      <c r="G39" s="718"/>
      <c r="H39" s="724"/>
      <c r="I39" s="725"/>
    </row>
    <row r="40" spans="1:9" ht="12.75" customHeight="1" outlineLevel="1" x14ac:dyDescent="0.2">
      <c r="A40" s="525"/>
      <c r="B40" s="526"/>
      <c r="C40" s="526"/>
      <c r="D40" s="717"/>
      <c r="E40" s="718"/>
      <c r="F40" s="717"/>
      <c r="G40" s="718"/>
      <c r="H40" s="724"/>
      <c r="I40" s="725"/>
    </row>
    <row r="41" spans="1:9" ht="12.75" customHeight="1" outlineLevel="1" x14ac:dyDescent="0.2">
      <c r="A41" s="525"/>
      <c r="B41" s="526"/>
      <c r="C41" s="526"/>
      <c r="D41" s="717"/>
      <c r="E41" s="718"/>
      <c r="F41" s="717"/>
      <c r="G41" s="718"/>
      <c r="H41" s="724"/>
      <c r="I41" s="725"/>
    </row>
    <row r="42" spans="1:9" ht="12.75" customHeight="1" outlineLevel="1" x14ac:dyDescent="0.2">
      <c r="A42" s="525"/>
      <c r="B42" s="526"/>
      <c r="C42" s="526"/>
      <c r="D42" s="717"/>
      <c r="E42" s="718"/>
      <c r="F42" s="717"/>
      <c r="G42" s="718"/>
      <c r="H42" s="724"/>
      <c r="I42" s="725"/>
    </row>
    <row r="43" spans="1:9" ht="12.75" customHeight="1" outlineLevel="1" x14ac:dyDescent="0.2">
      <c r="A43" s="525"/>
      <c r="B43" s="526"/>
      <c r="C43" s="526"/>
      <c r="D43" s="717"/>
      <c r="E43" s="718"/>
      <c r="F43" s="717"/>
      <c r="G43" s="718"/>
      <c r="H43" s="724"/>
      <c r="I43" s="725"/>
    </row>
    <row r="44" spans="1:9" ht="12.75" customHeight="1" outlineLevel="1" x14ac:dyDescent="0.2">
      <c r="A44" s="525"/>
      <c r="B44" s="526"/>
      <c r="C44" s="526"/>
      <c r="D44" s="717"/>
      <c r="E44" s="718"/>
      <c r="F44" s="717"/>
      <c r="G44" s="718"/>
      <c r="H44" s="724"/>
      <c r="I44" s="725"/>
    </row>
    <row r="45" spans="1:9" ht="12.75" customHeight="1" outlineLevel="1" x14ac:dyDescent="0.2">
      <c r="A45" s="525"/>
      <c r="B45" s="526"/>
      <c r="C45" s="526"/>
      <c r="D45" s="717"/>
      <c r="E45" s="718"/>
      <c r="F45" s="717"/>
      <c r="G45" s="718"/>
      <c r="H45" s="724"/>
      <c r="I45" s="725"/>
    </row>
    <row r="46" spans="1:9" ht="12.75" customHeight="1" outlineLevel="1" x14ac:dyDescent="0.2">
      <c r="A46" s="525"/>
      <c r="B46" s="526"/>
      <c r="C46" s="526"/>
      <c r="D46" s="717"/>
      <c r="E46" s="718"/>
      <c r="F46" s="717"/>
      <c r="G46" s="718"/>
      <c r="H46" s="724"/>
      <c r="I46" s="725"/>
    </row>
    <row r="47" spans="1:9" ht="12.75" customHeight="1" outlineLevel="1" x14ac:dyDescent="0.2">
      <c r="A47" s="525"/>
      <c r="B47" s="526"/>
      <c r="C47" s="526"/>
      <c r="D47" s="717"/>
      <c r="E47" s="718"/>
      <c r="F47" s="717"/>
      <c r="G47" s="718"/>
      <c r="H47" s="724"/>
      <c r="I47" s="725"/>
    </row>
    <row r="48" spans="1:9" ht="12.75" customHeight="1" outlineLevel="1" x14ac:dyDescent="0.2">
      <c r="A48" s="525"/>
      <c r="B48" s="526"/>
      <c r="C48" s="526"/>
      <c r="D48" s="717"/>
      <c r="E48" s="718"/>
      <c r="F48" s="717"/>
      <c r="G48" s="718"/>
      <c r="H48" s="724"/>
      <c r="I48" s="725"/>
    </row>
    <row r="49" spans="1:9" ht="12.75" customHeight="1" outlineLevel="1" x14ac:dyDescent="0.2">
      <c r="A49" s="525"/>
      <c r="B49" s="526"/>
      <c r="C49" s="526"/>
      <c r="D49" s="717"/>
      <c r="E49" s="718"/>
      <c r="F49" s="717"/>
      <c r="G49" s="718"/>
      <c r="H49" s="724"/>
      <c r="I49" s="725"/>
    </row>
    <row r="50" spans="1:9" ht="12.75" customHeight="1" outlineLevel="1" x14ac:dyDescent="0.2">
      <c r="A50" s="525"/>
      <c r="B50" s="526"/>
      <c r="C50" s="526"/>
      <c r="D50" s="717"/>
      <c r="E50" s="718"/>
      <c r="F50" s="717"/>
      <c r="G50" s="718"/>
      <c r="H50" s="724"/>
      <c r="I50" s="725"/>
    </row>
    <row r="51" spans="1:9" ht="12.75" customHeight="1" outlineLevel="1" x14ac:dyDescent="0.2">
      <c r="A51" s="525"/>
      <c r="B51" s="526"/>
      <c r="C51" s="526"/>
      <c r="D51" s="717"/>
      <c r="E51" s="718"/>
      <c r="F51" s="717"/>
      <c r="G51" s="718"/>
      <c r="H51" s="724"/>
      <c r="I51" s="725"/>
    </row>
    <row r="52" spans="1:9" ht="12.75" customHeight="1" outlineLevel="1" x14ac:dyDescent="0.2">
      <c r="A52" s="525"/>
      <c r="B52" s="526"/>
      <c r="C52" s="526"/>
      <c r="D52" s="717"/>
      <c r="E52" s="718"/>
      <c r="F52" s="717"/>
      <c r="G52" s="718"/>
      <c r="H52" s="724"/>
      <c r="I52" s="725"/>
    </row>
    <row r="53" spans="1:9" ht="12.75" customHeight="1" outlineLevel="1" x14ac:dyDescent="0.2">
      <c r="A53" s="525"/>
      <c r="B53" s="526"/>
      <c r="C53" s="526"/>
      <c r="D53" s="717"/>
      <c r="E53" s="718"/>
      <c r="F53" s="717"/>
      <c r="G53" s="718"/>
      <c r="H53" s="724"/>
      <c r="I53" s="725"/>
    </row>
    <row r="54" spans="1:9" ht="12.75" customHeight="1" outlineLevel="1" x14ac:dyDescent="0.2">
      <c r="A54" s="525"/>
      <c r="B54" s="526"/>
      <c r="C54" s="526"/>
      <c r="D54" s="717"/>
      <c r="E54" s="718"/>
      <c r="F54" s="717"/>
      <c r="G54" s="718"/>
      <c r="H54" s="724"/>
      <c r="I54" s="725"/>
    </row>
    <row r="55" spans="1:9" ht="12.75" customHeight="1" outlineLevel="1" x14ac:dyDescent="0.2">
      <c r="A55" s="525"/>
      <c r="B55" s="526"/>
      <c r="C55" s="526"/>
      <c r="D55" s="717"/>
      <c r="E55" s="718"/>
      <c r="F55" s="717"/>
      <c r="G55" s="718"/>
      <c r="H55" s="724"/>
      <c r="I55" s="725"/>
    </row>
    <row r="56" spans="1:9" ht="12.75" customHeight="1" outlineLevel="1" x14ac:dyDescent="0.2">
      <c r="A56" s="525"/>
      <c r="B56" s="526"/>
      <c r="C56" s="526"/>
      <c r="D56" s="717"/>
      <c r="E56" s="718"/>
      <c r="F56" s="717"/>
      <c r="G56" s="718"/>
      <c r="H56" s="724"/>
      <c r="I56" s="725"/>
    </row>
    <row r="57" spans="1:9" ht="12.75" customHeight="1" outlineLevel="1" x14ac:dyDescent="0.2">
      <c r="A57" s="525"/>
      <c r="B57" s="526"/>
      <c r="C57" s="526"/>
      <c r="D57" s="717"/>
      <c r="E57" s="718"/>
      <c r="F57" s="717"/>
      <c r="G57" s="718"/>
      <c r="H57" s="724"/>
      <c r="I57" s="725"/>
    </row>
    <row r="58" spans="1:9" ht="12.75" customHeight="1" outlineLevel="1" x14ac:dyDescent="0.2">
      <c r="A58" s="525"/>
      <c r="B58" s="526"/>
      <c r="C58" s="526"/>
      <c r="D58" s="717"/>
      <c r="E58" s="718"/>
      <c r="F58" s="717"/>
      <c r="G58" s="718"/>
      <c r="H58" s="724"/>
      <c r="I58" s="725"/>
    </row>
    <row r="59" spans="1:9" ht="12.75" customHeight="1" outlineLevel="1" x14ac:dyDescent="0.2">
      <c r="A59" s="525"/>
      <c r="B59" s="526"/>
      <c r="C59" s="526"/>
      <c r="D59" s="717"/>
      <c r="E59" s="718"/>
      <c r="F59" s="717"/>
      <c r="G59" s="718"/>
      <c r="H59" s="724"/>
      <c r="I59" s="725"/>
    </row>
    <row r="60" spans="1:9" ht="12.75" customHeight="1" outlineLevel="1" x14ac:dyDescent="0.2">
      <c r="A60" s="525"/>
      <c r="B60" s="526"/>
      <c r="C60" s="526"/>
      <c r="D60" s="717"/>
      <c r="E60" s="718"/>
      <c r="F60" s="717"/>
      <c r="G60" s="718"/>
      <c r="H60" s="724"/>
      <c r="I60" s="725"/>
    </row>
    <row r="61" spans="1:9" ht="12.75" customHeight="1" outlineLevel="1" x14ac:dyDescent="0.2">
      <c r="A61" s="525"/>
      <c r="B61" s="526"/>
      <c r="C61" s="526"/>
      <c r="D61" s="717"/>
      <c r="E61" s="718"/>
      <c r="F61" s="717"/>
      <c r="G61" s="718"/>
      <c r="H61" s="724"/>
      <c r="I61" s="725"/>
    </row>
    <row r="62" spans="1:9" ht="12.75" customHeight="1" outlineLevel="1" x14ac:dyDescent="0.2">
      <c r="A62" s="525"/>
      <c r="B62" s="526"/>
      <c r="C62" s="526"/>
      <c r="D62" s="717"/>
      <c r="E62" s="718"/>
      <c r="F62" s="717"/>
      <c r="G62" s="718"/>
      <c r="H62" s="724"/>
      <c r="I62" s="725"/>
    </row>
    <row r="63" spans="1:9" ht="12.75" customHeight="1" x14ac:dyDescent="0.2">
      <c r="A63" s="512" t="s">
        <v>415</v>
      </c>
      <c r="B63" s="713"/>
      <c r="C63" s="513"/>
      <c r="D63" s="728" t="s">
        <v>416</v>
      </c>
      <c r="E63" s="729"/>
      <c r="F63" s="540"/>
      <c r="G63" s="541"/>
      <c r="H63" s="728"/>
      <c r="I63" s="729"/>
    </row>
    <row r="64" spans="1:9" ht="12.75" customHeight="1" x14ac:dyDescent="0.2">
      <c r="A64" s="512" t="s">
        <v>417</v>
      </c>
      <c r="B64" s="713"/>
      <c r="C64" s="513"/>
      <c r="D64" s="714">
        <v>43703</v>
      </c>
      <c r="E64" s="715"/>
      <c r="F64" s="514"/>
      <c r="G64" s="581"/>
      <c r="H64" s="714"/>
      <c r="I64" s="715"/>
    </row>
    <row r="65" spans="1:10" ht="12.75" customHeight="1" x14ac:dyDescent="0.2">
      <c r="A65" s="508" t="s">
        <v>418</v>
      </c>
      <c r="B65" s="508"/>
      <c r="C65" s="508"/>
      <c r="D65" s="515" t="str">
        <f>VLOOKUP(D$10,'WT (WT)'!$A$8:$K$24,11,0)</f>
        <v>Effective</v>
      </c>
      <c r="E65" s="516"/>
      <c r="F65" s="515"/>
      <c r="G65" s="516"/>
      <c r="H65" s="519"/>
      <c r="I65" s="520"/>
    </row>
    <row r="66" spans="1:10" ht="12.75" customHeight="1" x14ac:dyDescent="0.2">
      <c r="A66" s="508"/>
      <c r="B66" s="508"/>
      <c r="C66" s="508"/>
      <c r="D66" s="517"/>
      <c r="E66" s="518"/>
      <c r="F66" s="517"/>
      <c r="G66" s="518"/>
      <c r="H66" s="521"/>
      <c r="I66" s="522"/>
    </row>
    <row r="67" spans="1:10" ht="12.75" customHeight="1" x14ac:dyDescent="0.2">
      <c r="A67" s="508" t="s">
        <v>419</v>
      </c>
      <c r="B67" s="508"/>
      <c r="C67" s="508"/>
      <c r="D67" s="519" t="s">
        <v>330</v>
      </c>
      <c r="E67" s="520"/>
      <c r="F67" s="519"/>
      <c r="G67" s="520"/>
      <c r="H67" s="519"/>
      <c r="I67" s="520"/>
    </row>
    <row r="68" spans="1:10" ht="12.75" customHeight="1" x14ac:dyDescent="0.2">
      <c r="A68" s="508"/>
      <c r="B68" s="508"/>
      <c r="C68" s="508"/>
      <c r="D68" s="542"/>
      <c r="E68" s="543"/>
      <c r="F68" s="542"/>
      <c r="G68" s="543"/>
      <c r="H68" s="542"/>
      <c r="I68" s="543"/>
    </row>
    <row r="69" spans="1:10" ht="12.75" customHeight="1" x14ac:dyDescent="0.2">
      <c r="A69" s="508"/>
      <c r="B69" s="508"/>
      <c r="C69" s="508"/>
      <c r="D69" s="521"/>
      <c r="E69" s="522"/>
      <c r="F69" s="521"/>
      <c r="G69" s="522"/>
      <c r="H69" s="521"/>
      <c r="I69" s="522"/>
    </row>
    <row r="70" spans="1:10" ht="12.75" customHeight="1" x14ac:dyDescent="0.2">
      <c r="A70" s="280"/>
      <c r="B70" s="280"/>
      <c r="C70" s="280"/>
      <c r="D70" s="271"/>
      <c r="E70" s="271"/>
      <c r="F70" s="271"/>
      <c r="G70" s="271"/>
      <c r="H70" s="281"/>
      <c r="I70" s="271"/>
      <c r="J70" s="271"/>
    </row>
    <row r="71" spans="1:10" ht="12.75" customHeight="1" x14ac:dyDescent="0.2">
      <c r="A71" s="544" t="s">
        <v>420</v>
      </c>
      <c r="B71" s="544" t="s">
        <v>535</v>
      </c>
      <c r="C71" s="544" t="s">
        <v>560</v>
      </c>
      <c r="D71" s="544" t="s">
        <v>561</v>
      </c>
      <c r="E71" s="544" t="s">
        <v>562</v>
      </c>
      <c r="F71" s="544" t="s">
        <v>563</v>
      </c>
      <c r="G71" s="544" t="s">
        <v>423</v>
      </c>
      <c r="H71" s="544" t="s">
        <v>564</v>
      </c>
      <c r="I71" s="544" t="s">
        <v>542</v>
      </c>
      <c r="J71" s="271"/>
    </row>
    <row r="72" spans="1:10" ht="12.75" customHeight="1" x14ac:dyDescent="0.2">
      <c r="A72" s="544"/>
      <c r="B72" s="544"/>
      <c r="C72" s="544"/>
      <c r="D72" s="544"/>
      <c r="E72" s="544"/>
      <c r="F72" s="544"/>
      <c r="G72" s="544"/>
      <c r="H72" s="544"/>
      <c r="I72" s="544"/>
      <c r="J72" s="271"/>
    </row>
    <row r="73" spans="1:10" ht="12.75" customHeight="1" x14ac:dyDescent="0.2">
      <c r="A73" s="544"/>
      <c r="B73" s="544"/>
      <c r="C73" s="544"/>
      <c r="D73" s="544"/>
      <c r="E73" s="544"/>
      <c r="F73" s="544"/>
      <c r="G73" s="544"/>
      <c r="H73" s="544"/>
      <c r="I73" s="544"/>
      <c r="J73" s="271"/>
    </row>
    <row r="74" spans="1:10" ht="12.75" customHeight="1" x14ac:dyDescent="0.2">
      <c r="A74" s="544"/>
      <c r="B74" s="544"/>
      <c r="C74" s="544"/>
      <c r="D74" s="544"/>
      <c r="E74" s="544"/>
      <c r="F74" s="544"/>
      <c r="G74" s="544"/>
      <c r="H74" s="544"/>
      <c r="I74" s="544"/>
      <c r="J74" s="271"/>
    </row>
    <row r="75" spans="1:10" ht="12.75" customHeight="1" x14ac:dyDescent="0.2">
      <c r="A75" s="545" t="s">
        <v>428</v>
      </c>
      <c r="B75" s="546"/>
      <c r="C75" s="546"/>
      <c r="D75" s="547"/>
      <c r="E75" s="547"/>
      <c r="F75" s="547"/>
      <c r="G75" s="547"/>
      <c r="H75" s="547"/>
      <c r="I75" s="548"/>
      <c r="J75" s="271"/>
    </row>
    <row r="76" spans="1:10" s="287" customFormat="1" ht="12.75" customHeight="1" outlineLevel="1" x14ac:dyDescent="0.2">
      <c r="A76" s="646">
        <v>1</v>
      </c>
      <c r="B76" s="803" t="s">
        <v>565</v>
      </c>
      <c r="C76" s="656">
        <v>367</v>
      </c>
      <c r="D76" s="734" t="s">
        <v>279</v>
      </c>
      <c r="E76" s="646" t="s">
        <v>281</v>
      </c>
      <c r="F76" s="646" t="s">
        <v>279</v>
      </c>
      <c r="G76" s="656" t="s">
        <v>566</v>
      </c>
      <c r="H76" s="648">
        <v>43567</v>
      </c>
      <c r="I76" s="658" t="s">
        <v>432</v>
      </c>
      <c r="J76" s="296"/>
    </row>
    <row r="77" spans="1:10" s="287" customFormat="1" ht="12.75" customHeight="1" outlineLevel="1" x14ac:dyDescent="0.2">
      <c r="A77" s="647"/>
      <c r="B77" s="804"/>
      <c r="C77" s="657"/>
      <c r="D77" s="735"/>
      <c r="E77" s="647"/>
      <c r="F77" s="647"/>
      <c r="G77" s="647"/>
      <c r="H77" s="647"/>
      <c r="I77" s="659"/>
      <c r="J77" s="296"/>
    </row>
    <row r="78" spans="1:10" s="287" customFormat="1" ht="12.75" customHeight="1" outlineLevel="1" x14ac:dyDescent="0.2">
      <c r="A78" s="647"/>
      <c r="B78" s="804"/>
      <c r="C78" s="657"/>
      <c r="D78" s="735"/>
      <c r="E78" s="647"/>
      <c r="F78" s="647"/>
      <c r="G78" s="647"/>
      <c r="H78" s="647"/>
      <c r="I78" s="659"/>
      <c r="J78" s="296"/>
    </row>
    <row r="79" spans="1:10" s="287" customFormat="1" ht="12.75" customHeight="1" outlineLevel="1" x14ac:dyDescent="0.2">
      <c r="A79" s="670"/>
      <c r="B79" s="805"/>
      <c r="C79" s="687"/>
      <c r="D79" s="736"/>
      <c r="E79" s="670"/>
      <c r="F79" s="670"/>
      <c r="G79" s="670"/>
      <c r="H79" s="670"/>
      <c r="I79" s="737"/>
      <c r="J79" s="296"/>
    </row>
    <row r="80" spans="1:10" ht="12.75" customHeight="1" outlineLevel="1" x14ac:dyDescent="0.2">
      <c r="A80" s="646">
        <v>2</v>
      </c>
      <c r="B80" s="733" t="s">
        <v>565</v>
      </c>
      <c r="C80" s="806">
        <v>415</v>
      </c>
      <c r="D80" s="809" t="s">
        <v>567</v>
      </c>
      <c r="E80" s="646" t="s">
        <v>279</v>
      </c>
      <c r="F80" s="646" t="s">
        <v>279</v>
      </c>
      <c r="G80" s="656" t="s">
        <v>568</v>
      </c>
      <c r="H80" s="648">
        <v>43567</v>
      </c>
      <c r="I80" s="738"/>
      <c r="J80" s="271"/>
    </row>
    <row r="81" spans="1:10" ht="12.75" customHeight="1" outlineLevel="1" x14ac:dyDescent="0.2">
      <c r="A81" s="647"/>
      <c r="B81" s="657"/>
      <c r="C81" s="807"/>
      <c r="D81" s="810"/>
      <c r="E81" s="647"/>
      <c r="F81" s="647"/>
      <c r="G81" s="647"/>
      <c r="H81" s="647"/>
      <c r="I81" s="739"/>
      <c r="J81" s="271"/>
    </row>
    <row r="82" spans="1:10" ht="12.75" customHeight="1" outlineLevel="1" x14ac:dyDescent="0.2">
      <c r="A82" s="647"/>
      <c r="B82" s="657"/>
      <c r="C82" s="807"/>
      <c r="D82" s="810"/>
      <c r="E82" s="647"/>
      <c r="F82" s="647"/>
      <c r="G82" s="647"/>
      <c r="H82" s="647"/>
      <c r="I82" s="739"/>
      <c r="J82" s="271"/>
    </row>
    <row r="83" spans="1:10" ht="12.75" customHeight="1" outlineLevel="1" x14ac:dyDescent="0.2">
      <c r="A83" s="670"/>
      <c r="B83" s="687"/>
      <c r="C83" s="808"/>
      <c r="D83" s="811"/>
      <c r="E83" s="670"/>
      <c r="F83" s="670"/>
      <c r="G83" s="670"/>
      <c r="H83" s="670"/>
      <c r="I83" s="740"/>
      <c r="J83" s="271"/>
    </row>
    <row r="84" spans="1:10" ht="12.75" customHeight="1" outlineLevel="1" x14ac:dyDescent="0.2">
      <c r="A84" s="646">
        <v>3</v>
      </c>
      <c r="B84" s="733" t="s">
        <v>569</v>
      </c>
      <c r="C84" s="806">
        <v>595</v>
      </c>
      <c r="D84" s="809" t="s">
        <v>567</v>
      </c>
      <c r="E84" s="646" t="s">
        <v>279</v>
      </c>
      <c r="F84" s="646" t="s">
        <v>279</v>
      </c>
      <c r="G84" s="656" t="s">
        <v>568</v>
      </c>
      <c r="H84" s="648">
        <v>43594</v>
      </c>
      <c r="I84" s="738"/>
      <c r="J84" s="271"/>
    </row>
    <row r="85" spans="1:10" ht="12.75" customHeight="1" outlineLevel="1" x14ac:dyDescent="0.2">
      <c r="A85" s="647"/>
      <c r="B85" s="657"/>
      <c r="C85" s="807"/>
      <c r="D85" s="810"/>
      <c r="E85" s="647"/>
      <c r="F85" s="647"/>
      <c r="G85" s="647"/>
      <c r="H85" s="647"/>
      <c r="I85" s="739"/>
      <c r="J85" s="271"/>
    </row>
    <row r="86" spans="1:10" ht="12.75" customHeight="1" outlineLevel="1" x14ac:dyDescent="0.2">
      <c r="A86" s="647"/>
      <c r="B86" s="657"/>
      <c r="C86" s="807"/>
      <c r="D86" s="810"/>
      <c r="E86" s="647"/>
      <c r="F86" s="647"/>
      <c r="G86" s="647"/>
      <c r="H86" s="647"/>
      <c r="I86" s="739"/>
      <c r="J86" s="271"/>
    </row>
    <row r="87" spans="1:10" ht="12.75" customHeight="1" outlineLevel="1" x14ac:dyDescent="0.2">
      <c r="A87" s="670"/>
      <c r="B87" s="687"/>
      <c r="C87" s="808"/>
      <c r="D87" s="811"/>
      <c r="E87" s="670"/>
      <c r="F87" s="670"/>
      <c r="G87" s="670"/>
      <c r="H87" s="670"/>
      <c r="I87" s="740"/>
      <c r="J87" s="271"/>
    </row>
    <row r="88" spans="1:10" ht="12.75" customHeight="1" outlineLevel="1" x14ac:dyDescent="0.2">
      <c r="A88" s="646">
        <v>4</v>
      </c>
      <c r="B88" s="803" t="s">
        <v>569</v>
      </c>
      <c r="C88" s="806">
        <v>611</v>
      </c>
      <c r="D88" s="809" t="s">
        <v>567</v>
      </c>
      <c r="E88" s="646" t="s">
        <v>279</v>
      </c>
      <c r="F88" s="646" t="s">
        <v>279</v>
      </c>
      <c r="G88" s="656" t="s">
        <v>568</v>
      </c>
      <c r="H88" s="648">
        <v>43598</v>
      </c>
      <c r="I88" s="738"/>
      <c r="J88" s="271"/>
    </row>
    <row r="89" spans="1:10" ht="12.75" customHeight="1" outlineLevel="1" x14ac:dyDescent="0.2">
      <c r="A89" s="647"/>
      <c r="B89" s="647"/>
      <c r="C89" s="807"/>
      <c r="D89" s="810"/>
      <c r="E89" s="647"/>
      <c r="F89" s="647"/>
      <c r="G89" s="647"/>
      <c r="H89" s="647"/>
      <c r="I89" s="739"/>
      <c r="J89" s="271"/>
    </row>
    <row r="90" spans="1:10" ht="12.75" customHeight="1" outlineLevel="1" x14ac:dyDescent="0.2">
      <c r="A90" s="647"/>
      <c r="B90" s="647"/>
      <c r="C90" s="807"/>
      <c r="D90" s="810"/>
      <c r="E90" s="647"/>
      <c r="F90" s="647"/>
      <c r="G90" s="647"/>
      <c r="H90" s="647"/>
      <c r="I90" s="739"/>
      <c r="J90" s="271"/>
    </row>
    <row r="91" spans="1:10" ht="12.75" customHeight="1" outlineLevel="1" x14ac:dyDescent="0.2">
      <c r="A91" s="670"/>
      <c r="B91" s="670"/>
      <c r="C91" s="808"/>
      <c r="D91" s="811"/>
      <c r="E91" s="670"/>
      <c r="F91" s="670"/>
      <c r="G91" s="670"/>
      <c r="H91" s="670"/>
      <c r="I91" s="740"/>
      <c r="J91" s="271"/>
    </row>
    <row r="92" spans="1:10" ht="12.75" customHeight="1" outlineLevel="1" x14ac:dyDescent="0.2">
      <c r="A92" s="646">
        <v>5</v>
      </c>
      <c r="B92" s="803" t="s">
        <v>570</v>
      </c>
      <c r="C92" s="806">
        <v>762</v>
      </c>
      <c r="D92" s="809" t="s">
        <v>567</v>
      </c>
      <c r="E92" s="646" t="s">
        <v>279</v>
      </c>
      <c r="F92" s="646" t="s">
        <v>279</v>
      </c>
      <c r="G92" s="656" t="s">
        <v>568</v>
      </c>
      <c r="H92" s="648">
        <v>43627</v>
      </c>
      <c r="I92" s="738"/>
      <c r="J92" s="271"/>
    </row>
    <row r="93" spans="1:10" ht="12.75" customHeight="1" outlineLevel="1" x14ac:dyDescent="0.2">
      <c r="A93" s="647"/>
      <c r="B93" s="647"/>
      <c r="C93" s="807"/>
      <c r="D93" s="810"/>
      <c r="E93" s="647"/>
      <c r="F93" s="647"/>
      <c r="G93" s="647"/>
      <c r="H93" s="647"/>
      <c r="I93" s="739"/>
      <c r="J93" s="271"/>
    </row>
    <row r="94" spans="1:10" ht="12.75" customHeight="1" outlineLevel="1" x14ac:dyDescent="0.2">
      <c r="A94" s="647"/>
      <c r="B94" s="647"/>
      <c r="C94" s="807"/>
      <c r="D94" s="810"/>
      <c r="E94" s="647"/>
      <c r="F94" s="647"/>
      <c r="G94" s="647"/>
      <c r="H94" s="647"/>
      <c r="I94" s="739"/>
      <c r="J94" s="271"/>
    </row>
    <row r="95" spans="1:10" ht="12.75" customHeight="1" outlineLevel="1" x14ac:dyDescent="0.2">
      <c r="A95" s="670"/>
      <c r="B95" s="670"/>
      <c r="C95" s="808"/>
      <c r="D95" s="811"/>
      <c r="E95" s="670"/>
      <c r="F95" s="670"/>
      <c r="G95" s="670"/>
      <c r="H95" s="670"/>
      <c r="I95" s="740"/>
      <c r="J95" s="271"/>
    </row>
    <row r="96" spans="1:10" ht="12.75" customHeight="1" outlineLevel="1" x14ac:dyDescent="0.2">
      <c r="A96" s="646">
        <v>6</v>
      </c>
      <c r="B96" s="803" t="s">
        <v>570</v>
      </c>
      <c r="C96" s="806">
        <v>765</v>
      </c>
      <c r="D96" s="809" t="s">
        <v>567</v>
      </c>
      <c r="E96" s="646" t="s">
        <v>279</v>
      </c>
      <c r="F96" s="646" t="s">
        <v>279</v>
      </c>
      <c r="G96" s="656" t="s">
        <v>568</v>
      </c>
      <c r="H96" s="648">
        <v>43627</v>
      </c>
      <c r="I96" s="738"/>
      <c r="J96" s="271"/>
    </row>
    <row r="97" spans="1:10" ht="12.75" customHeight="1" outlineLevel="1" x14ac:dyDescent="0.2">
      <c r="A97" s="647"/>
      <c r="B97" s="647"/>
      <c r="C97" s="807"/>
      <c r="D97" s="810"/>
      <c r="E97" s="647"/>
      <c r="F97" s="647"/>
      <c r="G97" s="647"/>
      <c r="H97" s="647"/>
      <c r="I97" s="739"/>
      <c r="J97" s="271"/>
    </row>
    <row r="98" spans="1:10" ht="12.75" customHeight="1" outlineLevel="1" x14ac:dyDescent="0.2">
      <c r="A98" s="647"/>
      <c r="B98" s="647"/>
      <c r="C98" s="807"/>
      <c r="D98" s="810"/>
      <c r="E98" s="647"/>
      <c r="F98" s="647"/>
      <c r="G98" s="647"/>
      <c r="H98" s="647"/>
      <c r="I98" s="739"/>
      <c r="J98" s="271"/>
    </row>
    <row r="99" spans="1:10" ht="12.75" customHeight="1" outlineLevel="1" x14ac:dyDescent="0.2">
      <c r="A99" s="670"/>
      <c r="B99" s="670"/>
      <c r="C99" s="808"/>
      <c r="D99" s="811"/>
      <c r="E99" s="670"/>
      <c r="F99" s="670"/>
      <c r="G99" s="670"/>
      <c r="H99" s="670"/>
      <c r="I99" s="740"/>
      <c r="J99" s="271"/>
    </row>
    <row r="100" spans="1:10" ht="12.75" customHeight="1" outlineLevel="1" x14ac:dyDescent="0.2">
      <c r="A100" s="646">
        <v>7</v>
      </c>
      <c r="B100" s="803" t="s">
        <v>571</v>
      </c>
      <c r="C100" s="806">
        <v>927</v>
      </c>
      <c r="D100" s="809" t="s">
        <v>567</v>
      </c>
      <c r="E100" s="646" t="s">
        <v>279</v>
      </c>
      <c r="F100" s="646" t="s">
        <v>279</v>
      </c>
      <c r="G100" s="656" t="s">
        <v>572</v>
      </c>
      <c r="H100" s="648">
        <v>43658</v>
      </c>
      <c r="I100" s="738"/>
      <c r="J100" s="271"/>
    </row>
    <row r="101" spans="1:10" ht="12.75" customHeight="1" outlineLevel="1" x14ac:dyDescent="0.2">
      <c r="A101" s="647"/>
      <c r="B101" s="647"/>
      <c r="C101" s="807"/>
      <c r="D101" s="810"/>
      <c r="E101" s="647"/>
      <c r="F101" s="647"/>
      <c r="G101" s="647"/>
      <c r="H101" s="647"/>
      <c r="I101" s="739"/>
      <c r="J101" s="271"/>
    </row>
    <row r="102" spans="1:10" ht="12.75" customHeight="1" outlineLevel="1" x14ac:dyDescent="0.2">
      <c r="A102" s="647"/>
      <c r="B102" s="647"/>
      <c r="C102" s="807"/>
      <c r="D102" s="810"/>
      <c r="E102" s="647"/>
      <c r="F102" s="647"/>
      <c r="G102" s="647"/>
      <c r="H102" s="647"/>
      <c r="I102" s="739"/>
      <c r="J102" s="271"/>
    </row>
    <row r="103" spans="1:10" ht="12.75" customHeight="1" outlineLevel="1" x14ac:dyDescent="0.2">
      <c r="A103" s="670"/>
      <c r="B103" s="670"/>
      <c r="C103" s="808"/>
      <c r="D103" s="811"/>
      <c r="E103" s="670"/>
      <c r="F103" s="670"/>
      <c r="G103" s="670"/>
      <c r="H103" s="670"/>
      <c r="I103" s="740"/>
      <c r="J103" s="271"/>
    </row>
    <row r="104" spans="1:10" ht="12.75" customHeight="1" outlineLevel="1" x14ac:dyDescent="0.2">
      <c r="A104" s="646">
        <v>8</v>
      </c>
      <c r="B104" s="803" t="s">
        <v>571</v>
      </c>
      <c r="C104" s="806">
        <v>934</v>
      </c>
      <c r="D104" s="809" t="s">
        <v>567</v>
      </c>
      <c r="E104" s="646" t="s">
        <v>279</v>
      </c>
      <c r="F104" s="646" t="s">
        <v>279</v>
      </c>
      <c r="G104" s="656" t="s">
        <v>572</v>
      </c>
      <c r="H104" s="648">
        <v>43658</v>
      </c>
      <c r="I104" s="738"/>
      <c r="J104" s="271"/>
    </row>
    <row r="105" spans="1:10" ht="12.75" customHeight="1" outlineLevel="1" x14ac:dyDescent="0.2">
      <c r="A105" s="647"/>
      <c r="B105" s="647"/>
      <c r="C105" s="807"/>
      <c r="D105" s="810"/>
      <c r="E105" s="647"/>
      <c r="F105" s="647"/>
      <c r="G105" s="647"/>
      <c r="H105" s="647"/>
      <c r="I105" s="739"/>
      <c r="J105" s="271"/>
    </row>
    <row r="106" spans="1:10" ht="12.75" customHeight="1" outlineLevel="1" x14ac:dyDescent="0.2">
      <c r="A106" s="647"/>
      <c r="B106" s="647"/>
      <c r="C106" s="807"/>
      <c r="D106" s="810"/>
      <c r="E106" s="647"/>
      <c r="F106" s="647"/>
      <c r="G106" s="647"/>
      <c r="H106" s="647"/>
      <c r="I106" s="739"/>
      <c r="J106" s="271"/>
    </row>
    <row r="107" spans="1:10" ht="12.75" customHeight="1" outlineLevel="1" x14ac:dyDescent="0.2">
      <c r="A107" s="670"/>
      <c r="B107" s="670"/>
      <c r="C107" s="808"/>
      <c r="D107" s="811"/>
      <c r="E107" s="670"/>
      <c r="F107" s="670"/>
      <c r="G107" s="670"/>
      <c r="H107" s="670"/>
      <c r="I107" s="740"/>
      <c r="J107" s="271"/>
    </row>
    <row r="108" spans="1:10" ht="12.75" customHeight="1" outlineLevel="1" x14ac:dyDescent="0.2">
      <c r="A108" s="646">
        <v>9</v>
      </c>
      <c r="B108" s="803" t="s">
        <v>571</v>
      </c>
      <c r="C108" s="806">
        <v>982</v>
      </c>
      <c r="D108" s="809" t="s">
        <v>567</v>
      </c>
      <c r="E108" s="646" t="s">
        <v>279</v>
      </c>
      <c r="F108" s="646" t="s">
        <v>279</v>
      </c>
      <c r="G108" s="656" t="s">
        <v>573</v>
      </c>
      <c r="H108" s="648">
        <v>43663</v>
      </c>
      <c r="I108" s="738"/>
      <c r="J108" s="271"/>
    </row>
    <row r="109" spans="1:10" ht="12.75" customHeight="1" outlineLevel="1" x14ac:dyDescent="0.2">
      <c r="A109" s="647"/>
      <c r="B109" s="647"/>
      <c r="C109" s="807"/>
      <c r="D109" s="810"/>
      <c r="E109" s="647"/>
      <c r="F109" s="647"/>
      <c r="G109" s="647"/>
      <c r="H109" s="647"/>
      <c r="I109" s="739"/>
      <c r="J109" s="271"/>
    </row>
    <row r="110" spans="1:10" ht="12.75" customHeight="1" outlineLevel="1" x14ac:dyDescent="0.2">
      <c r="A110" s="647"/>
      <c r="B110" s="647"/>
      <c r="C110" s="807"/>
      <c r="D110" s="810"/>
      <c r="E110" s="647"/>
      <c r="F110" s="647"/>
      <c r="G110" s="647"/>
      <c r="H110" s="647"/>
      <c r="I110" s="739"/>
      <c r="J110" s="271"/>
    </row>
    <row r="111" spans="1:10" ht="12.75" customHeight="1" outlineLevel="1" x14ac:dyDescent="0.2">
      <c r="A111" s="670"/>
      <c r="B111" s="670"/>
      <c r="C111" s="808"/>
      <c r="D111" s="811"/>
      <c r="E111" s="670"/>
      <c r="F111" s="670"/>
      <c r="G111" s="670"/>
      <c r="H111" s="670"/>
      <c r="I111" s="740"/>
      <c r="J111" s="271"/>
    </row>
    <row r="112" spans="1:10" ht="12.75" customHeight="1" x14ac:dyDescent="0.2">
      <c r="A112" s="545" t="s">
        <v>410</v>
      </c>
      <c r="B112" s="546"/>
      <c r="C112" s="546"/>
      <c r="D112" s="547"/>
      <c r="E112" s="547"/>
      <c r="F112" s="547"/>
      <c r="G112" s="547"/>
      <c r="H112" s="547"/>
      <c r="I112" s="548"/>
      <c r="J112" s="271"/>
    </row>
    <row r="113" spans="1:10" s="286" customFormat="1" ht="12.75" customHeight="1" outlineLevel="1" x14ac:dyDescent="0.25">
      <c r="A113" s="549">
        <v>10</v>
      </c>
      <c r="B113" s="812"/>
      <c r="C113" s="741"/>
      <c r="D113" s="734"/>
      <c r="E113" s="552"/>
      <c r="F113" s="552"/>
      <c r="G113" s="656"/>
      <c r="H113" s="656"/>
      <c r="I113" s="554"/>
    </row>
    <row r="114" spans="1:10" s="286" customFormat="1" ht="12.75" customHeight="1" outlineLevel="1" x14ac:dyDescent="0.25">
      <c r="A114" s="549"/>
      <c r="B114" s="549"/>
      <c r="C114" s="742"/>
      <c r="D114" s="735"/>
      <c r="E114" s="552"/>
      <c r="F114" s="552"/>
      <c r="G114" s="647"/>
      <c r="H114" s="647"/>
      <c r="I114" s="552"/>
    </row>
    <row r="115" spans="1:10" s="286" customFormat="1" ht="12.75" customHeight="1" outlineLevel="1" x14ac:dyDescent="0.25">
      <c r="A115" s="549"/>
      <c r="B115" s="549"/>
      <c r="C115" s="742"/>
      <c r="D115" s="735"/>
      <c r="E115" s="552"/>
      <c r="F115" s="552"/>
      <c r="G115" s="647"/>
      <c r="H115" s="647"/>
      <c r="I115" s="552"/>
    </row>
    <row r="116" spans="1:10" s="286" customFormat="1" ht="12.75" customHeight="1" outlineLevel="1" x14ac:dyDescent="0.25">
      <c r="A116" s="549"/>
      <c r="B116" s="549"/>
      <c r="C116" s="743"/>
      <c r="D116" s="736"/>
      <c r="E116" s="552"/>
      <c r="F116" s="552"/>
      <c r="G116" s="670"/>
      <c r="H116" s="670"/>
      <c r="I116" s="552"/>
    </row>
    <row r="117" spans="1:10" s="286" customFormat="1" ht="12.75" customHeight="1" outlineLevel="1" x14ac:dyDescent="0.25">
      <c r="A117" s="549">
        <v>11</v>
      </c>
      <c r="B117" s="812"/>
      <c r="C117" s="741"/>
      <c r="D117" s="734"/>
      <c r="E117" s="552"/>
      <c r="F117" s="552"/>
      <c r="G117" s="656"/>
      <c r="H117" s="656"/>
      <c r="I117" s="813"/>
      <c r="J117" s="297"/>
    </row>
    <row r="118" spans="1:10" s="286" customFormat="1" ht="12.75" customHeight="1" outlineLevel="1" x14ac:dyDescent="0.25">
      <c r="A118" s="549"/>
      <c r="B118" s="549"/>
      <c r="C118" s="742"/>
      <c r="D118" s="735"/>
      <c r="E118" s="552"/>
      <c r="F118" s="552"/>
      <c r="G118" s="647"/>
      <c r="H118" s="647"/>
      <c r="I118" s="814"/>
      <c r="J118" s="297"/>
    </row>
    <row r="119" spans="1:10" s="286" customFormat="1" ht="12.75" customHeight="1" outlineLevel="1" x14ac:dyDescent="0.25">
      <c r="A119" s="549"/>
      <c r="B119" s="549"/>
      <c r="C119" s="742"/>
      <c r="D119" s="735"/>
      <c r="E119" s="552"/>
      <c r="F119" s="552"/>
      <c r="G119" s="647"/>
      <c r="H119" s="647"/>
      <c r="I119" s="814"/>
      <c r="J119" s="297"/>
    </row>
    <row r="120" spans="1:10" s="286" customFormat="1" ht="12.75" customHeight="1" outlineLevel="1" x14ac:dyDescent="0.25">
      <c r="A120" s="549"/>
      <c r="B120" s="549"/>
      <c r="C120" s="743"/>
      <c r="D120" s="736"/>
      <c r="E120" s="552"/>
      <c r="F120" s="552"/>
      <c r="G120" s="670"/>
      <c r="H120" s="670"/>
      <c r="I120" s="815"/>
      <c r="J120" s="297"/>
    </row>
    <row r="121" spans="1:10" s="286" customFormat="1" ht="12.75" customHeight="1" outlineLevel="1" x14ac:dyDescent="0.25">
      <c r="A121" s="549">
        <v>12</v>
      </c>
      <c r="B121" s="816"/>
      <c r="C121" s="741"/>
      <c r="D121" s="734"/>
      <c r="E121" s="552"/>
      <c r="F121" s="552"/>
      <c r="G121" s="656"/>
      <c r="H121" s="656"/>
      <c r="I121" s="554"/>
      <c r="J121" s="297"/>
    </row>
    <row r="122" spans="1:10" s="286" customFormat="1" ht="12.75" customHeight="1" outlineLevel="1" x14ac:dyDescent="0.25">
      <c r="A122" s="549"/>
      <c r="B122" s="817"/>
      <c r="C122" s="742"/>
      <c r="D122" s="735"/>
      <c r="E122" s="552"/>
      <c r="F122" s="552"/>
      <c r="G122" s="647"/>
      <c r="H122" s="647"/>
      <c r="I122" s="552"/>
      <c r="J122" s="297"/>
    </row>
    <row r="123" spans="1:10" s="286" customFormat="1" ht="12.75" customHeight="1" outlineLevel="1" x14ac:dyDescent="0.25">
      <c r="A123" s="549"/>
      <c r="B123" s="817"/>
      <c r="C123" s="742"/>
      <c r="D123" s="735"/>
      <c r="E123" s="552"/>
      <c r="F123" s="552"/>
      <c r="G123" s="647"/>
      <c r="H123" s="647"/>
      <c r="I123" s="552"/>
      <c r="J123" s="297"/>
    </row>
    <row r="124" spans="1:10" s="286" customFormat="1" ht="12.75" customHeight="1" outlineLevel="1" x14ac:dyDescent="0.25">
      <c r="A124" s="549"/>
      <c r="B124" s="818"/>
      <c r="C124" s="743"/>
      <c r="D124" s="736"/>
      <c r="E124" s="552"/>
      <c r="F124" s="552"/>
      <c r="G124" s="670"/>
      <c r="H124" s="670"/>
      <c r="I124" s="552"/>
      <c r="J124" s="297"/>
    </row>
    <row r="125" spans="1:10" s="286" customFormat="1" ht="12.75" customHeight="1" outlineLevel="1" x14ac:dyDescent="0.25">
      <c r="A125" s="549">
        <v>13</v>
      </c>
      <c r="B125" s="816"/>
      <c r="C125" s="741"/>
      <c r="D125" s="734"/>
      <c r="E125" s="552"/>
      <c r="F125" s="552"/>
      <c r="G125" s="656"/>
      <c r="H125" s="656"/>
      <c r="I125" s="554"/>
      <c r="J125" s="297"/>
    </row>
    <row r="126" spans="1:10" s="286" customFormat="1" ht="12.75" customHeight="1" outlineLevel="1" x14ac:dyDescent="0.25">
      <c r="A126" s="549"/>
      <c r="B126" s="817"/>
      <c r="C126" s="742"/>
      <c r="D126" s="735"/>
      <c r="E126" s="552"/>
      <c r="F126" s="552"/>
      <c r="G126" s="647"/>
      <c r="H126" s="647"/>
      <c r="I126" s="552"/>
      <c r="J126" s="297"/>
    </row>
    <row r="127" spans="1:10" s="286" customFormat="1" ht="12.75" customHeight="1" outlineLevel="1" x14ac:dyDescent="0.25">
      <c r="A127" s="549"/>
      <c r="B127" s="817"/>
      <c r="C127" s="742"/>
      <c r="D127" s="735"/>
      <c r="E127" s="552"/>
      <c r="F127" s="552"/>
      <c r="G127" s="647"/>
      <c r="H127" s="647"/>
      <c r="I127" s="552"/>
      <c r="J127" s="297"/>
    </row>
    <row r="128" spans="1:10" s="286" customFormat="1" ht="12.75" customHeight="1" outlineLevel="1" x14ac:dyDescent="0.25">
      <c r="A128" s="549"/>
      <c r="B128" s="818"/>
      <c r="C128" s="743"/>
      <c r="D128" s="736"/>
      <c r="E128" s="552"/>
      <c r="F128" s="552"/>
      <c r="G128" s="670"/>
      <c r="H128" s="670"/>
      <c r="I128" s="552"/>
      <c r="J128" s="297"/>
    </row>
    <row r="129" spans="1:10" s="286" customFormat="1" ht="12.75" customHeight="1" outlineLevel="1" x14ac:dyDescent="0.25">
      <c r="A129" s="549">
        <v>14</v>
      </c>
      <c r="B129" s="816"/>
      <c r="C129" s="741"/>
      <c r="D129" s="734"/>
      <c r="E129" s="552"/>
      <c r="F129" s="552"/>
      <c r="G129" s="656"/>
      <c r="H129" s="656"/>
      <c r="I129" s="813"/>
      <c r="J129" s="298"/>
    </row>
    <row r="130" spans="1:10" s="286" customFormat="1" ht="12.75" customHeight="1" outlineLevel="1" x14ac:dyDescent="0.25">
      <c r="A130" s="549"/>
      <c r="B130" s="817"/>
      <c r="C130" s="742"/>
      <c r="D130" s="735"/>
      <c r="E130" s="552"/>
      <c r="F130" s="552"/>
      <c r="G130" s="647"/>
      <c r="H130" s="647"/>
      <c r="I130" s="814"/>
      <c r="J130" s="298"/>
    </row>
    <row r="131" spans="1:10" s="286" customFormat="1" ht="12.75" customHeight="1" outlineLevel="1" x14ac:dyDescent="0.25">
      <c r="A131" s="549"/>
      <c r="B131" s="817"/>
      <c r="C131" s="742"/>
      <c r="D131" s="735"/>
      <c r="E131" s="552"/>
      <c r="F131" s="552"/>
      <c r="G131" s="647"/>
      <c r="H131" s="647"/>
      <c r="I131" s="814"/>
      <c r="J131" s="298"/>
    </row>
    <row r="132" spans="1:10" s="286" customFormat="1" ht="12.75" customHeight="1" outlineLevel="1" x14ac:dyDescent="0.25">
      <c r="A132" s="549"/>
      <c r="B132" s="818"/>
      <c r="C132" s="743"/>
      <c r="D132" s="736"/>
      <c r="E132" s="552"/>
      <c r="F132" s="552"/>
      <c r="G132" s="670"/>
      <c r="H132" s="670"/>
      <c r="I132" s="815"/>
      <c r="J132" s="298"/>
    </row>
    <row r="133" spans="1:10" ht="12.75" customHeight="1" x14ac:dyDescent="0.2">
      <c r="A133" s="744" t="s">
        <v>437</v>
      </c>
      <c r="B133" s="744"/>
      <c r="C133" s="744"/>
      <c r="D133" s="744"/>
      <c r="E133" s="744"/>
      <c r="F133" s="744"/>
      <c r="G133" s="744"/>
      <c r="H133" s="744"/>
      <c r="I133" s="744"/>
    </row>
    <row r="134" spans="1:10" ht="12.75" customHeight="1" outlineLevel="1" x14ac:dyDescent="0.2">
      <c r="A134" s="549">
        <v>15</v>
      </c>
      <c r="B134" s="816"/>
      <c r="C134" s="741"/>
      <c r="D134" s="745"/>
      <c r="E134" s="552"/>
      <c r="F134" s="552"/>
      <c r="G134" s="656"/>
      <c r="H134" s="656"/>
      <c r="I134" s="738"/>
      <c r="J134" s="271"/>
    </row>
    <row r="135" spans="1:10" ht="12.75" customHeight="1" outlineLevel="1" x14ac:dyDescent="0.2">
      <c r="A135" s="549"/>
      <c r="B135" s="817"/>
      <c r="C135" s="742"/>
      <c r="D135" s="746"/>
      <c r="E135" s="552"/>
      <c r="F135" s="552"/>
      <c r="G135" s="647"/>
      <c r="H135" s="647"/>
      <c r="I135" s="739"/>
      <c r="J135" s="271"/>
    </row>
    <row r="136" spans="1:10" ht="12.75" customHeight="1" outlineLevel="1" x14ac:dyDescent="0.2">
      <c r="A136" s="549"/>
      <c r="B136" s="817"/>
      <c r="C136" s="742"/>
      <c r="D136" s="746"/>
      <c r="E136" s="552"/>
      <c r="F136" s="552"/>
      <c r="G136" s="647"/>
      <c r="H136" s="647"/>
      <c r="I136" s="739"/>
      <c r="J136" s="271"/>
    </row>
    <row r="137" spans="1:10" ht="12.75" customHeight="1" outlineLevel="1" x14ac:dyDescent="0.2">
      <c r="A137" s="549"/>
      <c r="B137" s="818"/>
      <c r="C137" s="743"/>
      <c r="D137" s="747"/>
      <c r="E137" s="552"/>
      <c r="F137" s="552"/>
      <c r="G137" s="670"/>
      <c r="H137" s="670"/>
      <c r="I137" s="740"/>
      <c r="J137" s="271"/>
    </row>
    <row r="138" spans="1:10" ht="12.75" customHeight="1" x14ac:dyDescent="0.2">
      <c r="A138" s="270"/>
      <c r="B138" s="270"/>
      <c r="C138" s="270"/>
      <c r="D138" s="293"/>
      <c r="E138" s="270"/>
      <c r="F138" s="270"/>
      <c r="G138" s="270"/>
      <c r="H138" s="270"/>
    </row>
    <row r="139" spans="1:10" ht="12.75" customHeight="1" x14ac:dyDescent="0.2">
      <c r="A139" s="282"/>
      <c r="B139" s="282"/>
      <c r="C139" s="282"/>
      <c r="D139" s="506" t="s">
        <v>409</v>
      </c>
      <c r="E139" s="507"/>
      <c r="F139" s="506" t="s">
        <v>436</v>
      </c>
      <c r="G139" s="507"/>
      <c r="H139" s="752" t="s">
        <v>437</v>
      </c>
      <c r="I139" s="753"/>
    </row>
    <row r="140" spans="1:10" ht="12.75" customHeight="1" x14ac:dyDescent="0.2">
      <c r="A140" s="512" t="s">
        <v>438</v>
      </c>
      <c r="B140" s="713"/>
      <c r="C140" s="556"/>
      <c r="D140" s="748" t="s">
        <v>574</v>
      </c>
      <c r="E140" s="749"/>
      <c r="F140" s="748"/>
      <c r="G140" s="749"/>
      <c r="H140" s="748"/>
      <c r="I140" s="750"/>
    </row>
    <row r="141" spans="1:10" ht="12.75" customHeight="1" x14ac:dyDescent="0.2">
      <c r="A141" s="512" t="s">
        <v>440</v>
      </c>
      <c r="B141" s="713"/>
      <c r="C141" s="556"/>
      <c r="D141" s="748" t="s">
        <v>575</v>
      </c>
      <c r="E141" s="749"/>
      <c r="F141" s="748"/>
      <c r="G141" s="749"/>
      <c r="H141" s="748"/>
      <c r="I141" s="750"/>
    </row>
    <row r="142" spans="1:10" ht="12.75" customHeight="1" x14ac:dyDescent="0.2">
      <c r="A142" s="512" t="s">
        <v>441</v>
      </c>
      <c r="B142" s="713"/>
      <c r="C142" s="556"/>
      <c r="D142" s="582" t="s">
        <v>330</v>
      </c>
      <c r="E142" s="583"/>
      <c r="F142" s="557" t="s">
        <v>392</v>
      </c>
      <c r="G142" s="558"/>
      <c r="H142" s="557" t="s">
        <v>392</v>
      </c>
      <c r="I142" s="558"/>
    </row>
    <row r="143" spans="1:10" ht="12.75" customHeight="1" x14ac:dyDescent="0.2">
      <c r="A143" s="270"/>
      <c r="B143" s="270"/>
      <c r="C143" s="270"/>
      <c r="D143" s="270"/>
      <c r="E143" s="270"/>
      <c r="F143" s="270"/>
      <c r="G143" s="270"/>
      <c r="H143" s="270"/>
      <c r="I143" s="270"/>
    </row>
    <row r="144" spans="1:10" ht="12.75" customHeight="1" x14ac:dyDescent="0.2">
      <c r="A144" s="561" t="s">
        <v>442</v>
      </c>
      <c r="B144" s="763"/>
      <c r="C144" s="562"/>
      <c r="D144" s="270"/>
      <c r="E144" s="270"/>
      <c r="F144" s="270"/>
      <c r="G144" s="270"/>
      <c r="H144" s="270"/>
    </row>
    <row r="145" spans="1:9" ht="12.75" customHeight="1" x14ac:dyDescent="0.2">
      <c r="A145" s="764" t="s">
        <v>279</v>
      </c>
      <c r="B145" s="764"/>
      <c r="C145" s="764"/>
      <c r="D145" s="755" t="s">
        <v>443</v>
      </c>
      <c r="E145" s="755"/>
      <c r="F145" s="755"/>
      <c r="G145" s="755"/>
      <c r="H145" s="755"/>
      <c r="I145" s="755"/>
    </row>
    <row r="146" spans="1:9" ht="12.75" customHeight="1" x14ac:dyDescent="0.2">
      <c r="A146" s="764"/>
      <c r="B146" s="764"/>
      <c r="C146" s="764"/>
      <c r="D146" s="755"/>
      <c r="E146" s="755"/>
      <c r="F146" s="755"/>
      <c r="G146" s="755"/>
      <c r="H146" s="755"/>
      <c r="I146" s="755"/>
    </row>
    <row r="147" spans="1:9" ht="12.75" customHeight="1" x14ac:dyDescent="0.2">
      <c r="A147" s="754" t="s">
        <v>432</v>
      </c>
      <c r="B147" s="754"/>
      <c r="C147" s="754"/>
      <c r="D147" s="755" t="s">
        <v>444</v>
      </c>
      <c r="E147" s="755"/>
      <c r="F147" s="755"/>
      <c r="G147" s="755"/>
      <c r="H147" s="755"/>
      <c r="I147" s="755"/>
    </row>
    <row r="148" spans="1:9" ht="12.75" customHeight="1" x14ac:dyDescent="0.2">
      <c r="A148" s="822"/>
      <c r="B148" s="822"/>
      <c r="C148" s="822"/>
      <c r="D148" s="823"/>
      <c r="E148" s="823"/>
      <c r="F148" s="823"/>
      <c r="G148" s="823"/>
      <c r="H148" s="823"/>
      <c r="I148" s="823"/>
    </row>
    <row r="149" spans="1:9" ht="12.75" customHeight="1" x14ac:dyDescent="0.2">
      <c r="A149" s="819" t="s">
        <v>445</v>
      </c>
      <c r="B149" s="819"/>
      <c r="C149" s="819"/>
      <c r="D149" s="820" t="s">
        <v>576</v>
      </c>
      <c r="E149" s="820"/>
      <c r="F149" s="820"/>
      <c r="G149" s="820"/>
      <c r="H149" s="820"/>
      <c r="I149" s="820"/>
    </row>
    <row r="150" spans="1:9" ht="12.75" customHeight="1" x14ac:dyDescent="0.2">
      <c r="A150" s="819"/>
      <c r="B150" s="819"/>
      <c r="C150" s="819"/>
      <c r="D150" s="820"/>
      <c r="E150" s="820"/>
      <c r="F150" s="820"/>
      <c r="G150" s="820"/>
      <c r="H150" s="820"/>
      <c r="I150" s="820"/>
    </row>
    <row r="151" spans="1:9" ht="12.75" customHeight="1" x14ac:dyDescent="0.2">
      <c r="A151" s="819" t="s">
        <v>447</v>
      </c>
      <c r="B151" s="819"/>
      <c r="C151" s="819"/>
      <c r="D151" s="820" t="s">
        <v>577</v>
      </c>
      <c r="E151" s="820"/>
      <c r="F151" s="820"/>
      <c r="G151" s="820"/>
      <c r="H151" s="820"/>
      <c r="I151" s="820"/>
    </row>
    <row r="152" spans="1:9" ht="12.75" customHeight="1" x14ac:dyDescent="0.2">
      <c r="A152" s="819"/>
      <c r="B152" s="819"/>
      <c r="C152" s="819"/>
      <c r="D152" s="820"/>
      <c r="E152" s="820"/>
      <c r="F152" s="820"/>
      <c r="G152" s="820"/>
      <c r="H152" s="820"/>
      <c r="I152" s="820"/>
    </row>
    <row r="153" spans="1:9" ht="12.75" customHeight="1" x14ac:dyDescent="0.2">
      <c r="A153" s="819" t="s">
        <v>578</v>
      </c>
      <c r="B153" s="819"/>
      <c r="C153" s="819"/>
      <c r="D153" s="821" t="s">
        <v>579</v>
      </c>
      <c r="E153" s="821"/>
      <c r="F153" s="821"/>
      <c r="G153" s="821"/>
      <c r="H153" s="821"/>
      <c r="I153" s="821"/>
    </row>
    <row r="154" spans="1:9" ht="12.75" customHeight="1" x14ac:dyDescent="0.2">
      <c r="A154" s="819"/>
      <c r="B154" s="819"/>
      <c r="C154" s="819"/>
      <c r="D154" s="821"/>
      <c r="E154" s="821"/>
      <c r="F154" s="821"/>
      <c r="G154" s="821"/>
      <c r="H154" s="821"/>
      <c r="I154" s="821"/>
    </row>
    <row r="156" spans="1:9" ht="12.75" customHeight="1" x14ac:dyDescent="0.2">
      <c r="A156" s="595" t="s">
        <v>370</v>
      </c>
      <c r="B156" s="596"/>
      <c r="C156" s="596"/>
      <c r="D156" s="596"/>
      <c r="E156" s="596"/>
      <c r="F156" s="596"/>
      <c r="G156" s="596"/>
      <c r="H156" s="596"/>
      <c r="I156" s="597"/>
    </row>
    <row r="157" spans="1:9" ht="12.75" customHeight="1" x14ac:dyDescent="0.2">
      <c r="A157" s="294" t="s">
        <v>449</v>
      </c>
      <c r="B157" s="294" t="s">
        <v>450</v>
      </c>
      <c r="C157" s="294" t="s">
        <v>451</v>
      </c>
      <c r="D157" s="595" t="s">
        <v>452</v>
      </c>
      <c r="E157" s="596"/>
      <c r="F157" s="596"/>
      <c r="G157" s="596"/>
      <c r="H157" s="596"/>
      <c r="I157" s="597"/>
    </row>
    <row r="158" spans="1:9" ht="12.75" customHeight="1" x14ac:dyDescent="0.2">
      <c r="A158" s="797" t="s">
        <v>580</v>
      </c>
      <c r="B158" s="598" t="s">
        <v>454</v>
      </c>
      <c r="C158" s="598" t="s">
        <v>130</v>
      </c>
      <c r="D158" s="602" t="s">
        <v>456</v>
      </c>
      <c r="E158" s="606" t="s">
        <v>457</v>
      </c>
      <c r="F158" s="607"/>
      <c r="G158" s="824" t="s">
        <v>584</v>
      </c>
      <c r="H158" s="825"/>
      <c r="I158" s="826"/>
    </row>
    <row r="159" spans="1:9" ht="12.75" customHeight="1" x14ac:dyDescent="0.2">
      <c r="A159" s="798"/>
      <c r="B159" s="599"/>
      <c r="C159" s="599"/>
      <c r="D159" s="602"/>
      <c r="E159" s="606"/>
      <c r="F159" s="607"/>
      <c r="G159" s="827"/>
      <c r="H159" s="828"/>
      <c r="I159" s="829"/>
    </row>
    <row r="160" spans="1:9" ht="12.75" customHeight="1" x14ac:dyDescent="0.2">
      <c r="A160" s="798"/>
      <c r="B160" s="599"/>
      <c r="C160" s="599"/>
      <c r="D160" s="602"/>
      <c r="E160" s="606"/>
      <c r="F160" s="607"/>
      <c r="G160" s="827"/>
      <c r="H160" s="828"/>
      <c r="I160" s="829"/>
    </row>
    <row r="161" spans="1:9" ht="12.75" customHeight="1" x14ac:dyDescent="0.2">
      <c r="A161" s="798"/>
      <c r="B161" s="599"/>
      <c r="C161" s="599"/>
      <c r="D161" s="602"/>
      <c r="E161" s="606"/>
      <c r="F161" s="607"/>
      <c r="G161" s="827"/>
      <c r="H161" s="828"/>
      <c r="I161" s="829"/>
    </row>
    <row r="162" spans="1:9" ht="12.75" customHeight="1" x14ac:dyDescent="0.2">
      <c r="A162" s="798"/>
      <c r="B162" s="599"/>
      <c r="C162" s="599"/>
      <c r="D162" s="603"/>
      <c r="E162" s="608"/>
      <c r="F162" s="609"/>
      <c r="G162" s="830"/>
      <c r="H162" s="831"/>
      <c r="I162" s="832"/>
    </row>
    <row r="163" spans="1:9" ht="12.75" customHeight="1" x14ac:dyDescent="0.2">
      <c r="A163" s="798"/>
      <c r="B163" s="599"/>
      <c r="C163" s="599"/>
      <c r="D163" s="601" t="s">
        <v>458</v>
      </c>
      <c r="E163" s="604" t="s">
        <v>459</v>
      </c>
      <c r="F163" s="605"/>
      <c r="G163" s="824" t="s">
        <v>584</v>
      </c>
      <c r="H163" s="825"/>
      <c r="I163" s="826"/>
    </row>
    <row r="164" spans="1:9" ht="12.75" customHeight="1" x14ac:dyDescent="0.2">
      <c r="A164" s="798"/>
      <c r="B164" s="599"/>
      <c r="C164" s="599"/>
      <c r="D164" s="602"/>
      <c r="E164" s="606"/>
      <c r="F164" s="607"/>
      <c r="G164" s="827"/>
      <c r="H164" s="828"/>
      <c r="I164" s="829"/>
    </row>
    <row r="165" spans="1:9" ht="12.75" customHeight="1" x14ac:dyDescent="0.2">
      <c r="A165" s="798"/>
      <c r="B165" s="599"/>
      <c r="C165" s="599"/>
      <c r="D165" s="602"/>
      <c r="E165" s="606"/>
      <c r="F165" s="607"/>
      <c r="G165" s="827"/>
      <c r="H165" s="828"/>
      <c r="I165" s="829"/>
    </row>
    <row r="166" spans="1:9" ht="12.75" customHeight="1" x14ac:dyDescent="0.2">
      <c r="A166" s="798"/>
      <c r="B166" s="599"/>
      <c r="C166" s="599"/>
      <c r="D166" s="602"/>
      <c r="E166" s="606"/>
      <c r="F166" s="607"/>
      <c r="G166" s="827"/>
      <c r="H166" s="828"/>
      <c r="I166" s="829"/>
    </row>
    <row r="167" spans="1:9" ht="12.75" customHeight="1" x14ac:dyDescent="0.2">
      <c r="A167" s="798"/>
      <c r="B167" s="599"/>
      <c r="C167" s="599"/>
      <c r="D167" s="603"/>
      <c r="E167" s="608"/>
      <c r="F167" s="609"/>
      <c r="G167" s="830"/>
      <c r="H167" s="831"/>
      <c r="I167" s="832"/>
    </row>
    <row r="168" spans="1:9" ht="12.75" customHeight="1" x14ac:dyDescent="0.2">
      <c r="A168" s="798"/>
      <c r="B168" s="599"/>
      <c r="C168" s="599"/>
      <c r="D168" s="601" t="s">
        <v>460</v>
      </c>
      <c r="E168" s="604" t="s">
        <v>461</v>
      </c>
      <c r="F168" s="605"/>
      <c r="G168" s="824" t="s">
        <v>584</v>
      </c>
      <c r="H168" s="825"/>
      <c r="I168" s="826"/>
    </row>
    <row r="169" spans="1:9" ht="12.75" customHeight="1" x14ac:dyDescent="0.2">
      <c r="A169" s="798"/>
      <c r="B169" s="599"/>
      <c r="C169" s="599"/>
      <c r="D169" s="602"/>
      <c r="E169" s="606"/>
      <c r="F169" s="607"/>
      <c r="G169" s="827"/>
      <c r="H169" s="828"/>
      <c r="I169" s="829"/>
    </row>
    <row r="170" spans="1:9" ht="12.75" customHeight="1" x14ac:dyDescent="0.2">
      <c r="A170" s="798"/>
      <c r="B170" s="599"/>
      <c r="C170" s="599"/>
      <c r="D170" s="602"/>
      <c r="E170" s="606"/>
      <c r="F170" s="607"/>
      <c r="G170" s="827"/>
      <c r="H170" s="828"/>
      <c r="I170" s="829"/>
    </row>
    <row r="171" spans="1:9" ht="12.75" customHeight="1" x14ac:dyDescent="0.2">
      <c r="A171" s="798"/>
      <c r="B171" s="599"/>
      <c r="C171" s="599"/>
      <c r="D171" s="602"/>
      <c r="E171" s="606"/>
      <c r="F171" s="607"/>
      <c r="G171" s="827"/>
      <c r="H171" s="828"/>
      <c r="I171" s="829"/>
    </row>
    <row r="172" spans="1:9" ht="12.75" customHeight="1" x14ac:dyDescent="0.2">
      <c r="A172" s="798"/>
      <c r="B172" s="599"/>
      <c r="C172" s="599"/>
      <c r="D172" s="602"/>
      <c r="E172" s="608"/>
      <c r="F172" s="609"/>
      <c r="G172" s="830"/>
      <c r="H172" s="831"/>
      <c r="I172" s="832"/>
    </row>
    <row r="173" spans="1:9" ht="12.75" customHeight="1" x14ac:dyDescent="0.2">
      <c r="A173" s="798"/>
      <c r="B173" s="599"/>
      <c r="C173" s="599"/>
      <c r="D173" s="602"/>
      <c r="E173" s="604" t="s">
        <v>462</v>
      </c>
      <c r="F173" s="605"/>
      <c r="G173" s="774"/>
      <c r="H173" s="775"/>
      <c r="I173" s="776"/>
    </row>
    <row r="174" spans="1:9" ht="12.75" customHeight="1" x14ac:dyDescent="0.2">
      <c r="A174" s="798"/>
      <c r="B174" s="599"/>
      <c r="C174" s="599"/>
      <c r="D174" s="602"/>
      <c r="E174" s="608"/>
      <c r="F174" s="609"/>
      <c r="G174" s="777"/>
      <c r="H174" s="778"/>
      <c r="I174" s="779"/>
    </row>
    <row r="175" spans="1:9" ht="12.75" customHeight="1" x14ac:dyDescent="0.2">
      <c r="A175" s="798"/>
      <c r="B175" s="599"/>
      <c r="C175" s="599"/>
      <c r="D175" s="602"/>
      <c r="E175" s="604" t="s">
        <v>463</v>
      </c>
      <c r="F175" s="605"/>
      <c r="G175" s="824" t="s">
        <v>584</v>
      </c>
      <c r="H175" s="825"/>
      <c r="I175" s="826"/>
    </row>
    <row r="176" spans="1:9" ht="12.75" customHeight="1" x14ac:dyDescent="0.2">
      <c r="A176" s="798"/>
      <c r="B176" s="599"/>
      <c r="C176" s="599"/>
      <c r="D176" s="602"/>
      <c r="E176" s="606"/>
      <c r="F176" s="607"/>
      <c r="G176" s="827"/>
      <c r="H176" s="828"/>
      <c r="I176" s="829"/>
    </row>
    <row r="177" spans="1:9" ht="12.75" customHeight="1" x14ac:dyDescent="0.2">
      <c r="A177" s="798"/>
      <c r="B177" s="599"/>
      <c r="C177" s="599"/>
      <c r="D177" s="602"/>
      <c r="E177" s="606"/>
      <c r="F177" s="607"/>
      <c r="G177" s="827"/>
      <c r="H177" s="828"/>
      <c r="I177" s="829"/>
    </row>
    <row r="178" spans="1:9" ht="12.75" customHeight="1" x14ac:dyDescent="0.2">
      <c r="A178" s="798"/>
      <c r="B178" s="599"/>
      <c r="C178" s="599"/>
      <c r="D178" s="602"/>
      <c r="E178" s="606"/>
      <c r="F178" s="607"/>
      <c r="G178" s="827"/>
      <c r="H178" s="828"/>
      <c r="I178" s="829"/>
    </row>
    <row r="179" spans="1:9" ht="12.75" customHeight="1" x14ac:dyDescent="0.2">
      <c r="A179" s="798"/>
      <c r="B179" s="599"/>
      <c r="C179" s="599"/>
      <c r="D179" s="602"/>
      <c r="E179" s="608"/>
      <c r="F179" s="609"/>
      <c r="G179" s="830"/>
      <c r="H179" s="831"/>
      <c r="I179" s="832"/>
    </row>
    <row r="180" spans="1:9" ht="12.75" customHeight="1" x14ac:dyDescent="0.2">
      <c r="A180" s="798"/>
      <c r="B180" s="599"/>
      <c r="C180" s="599"/>
      <c r="D180" s="602"/>
      <c r="E180" s="604" t="s">
        <v>464</v>
      </c>
      <c r="F180" s="605"/>
      <c r="G180" s="774"/>
      <c r="H180" s="775"/>
      <c r="I180" s="776"/>
    </row>
    <row r="181" spans="1:9" ht="12.75" customHeight="1" x14ac:dyDescent="0.2">
      <c r="A181" s="798"/>
      <c r="B181" s="599"/>
      <c r="C181" s="599"/>
      <c r="D181" s="603"/>
      <c r="E181" s="608"/>
      <c r="F181" s="609"/>
      <c r="G181" s="777"/>
      <c r="H181" s="778"/>
      <c r="I181" s="779"/>
    </row>
    <row r="182" spans="1:9" ht="12.75" customHeight="1" x14ac:dyDescent="0.2">
      <c r="A182" s="798"/>
      <c r="B182" s="599"/>
      <c r="C182" s="599"/>
      <c r="D182" s="601" t="s">
        <v>465</v>
      </c>
      <c r="E182" s="604" t="s">
        <v>466</v>
      </c>
      <c r="F182" s="605"/>
      <c r="G182" s="824" t="s">
        <v>584</v>
      </c>
      <c r="H182" s="825"/>
      <c r="I182" s="826"/>
    </row>
    <row r="183" spans="1:9" ht="12.75" customHeight="1" x14ac:dyDescent="0.2">
      <c r="A183" s="798"/>
      <c r="B183" s="599"/>
      <c r="C183" s="599"/>
      <c r="D183" s="602"/>
      <c r="E183" s="606"/>
      <c r="F183" s="607"/>
      <c r="G183" s="827"/>
      <c r="H183" s="828"/>
      <c r="I183" s="829"/>
    </row>
    <row r="184" spans="1:9" ht="12.75" customHeight="1" x14ac:dyDescent="0.2">
      <c r="A184" s="798"/>
      <c r="B184" s="599"/>
      <c r="C184" s="599"/>
      <c r="D184" s="602"/>
      <c r="E184" s="606"/>
      <c r="F184" s="607"/>
      <c r="G184" s="827"/>
      <c r="H184" s="828"/>
      <c r="I184" s="829"/>
    </row>
    <row r="185" spans="1:9" ht="12.75" customHeight="1" x14ac:dyDescent="0.2">
      <c r="A185" s="798"/>
      <c r="B185" s="599"/>
      <c r="C185" s="599"/>
      <c r="D185" s="602"/>
      <c r="E185" s="606"/>
      <c r="F185" s="607"/>
      <c r="G185" s="827"/>
      <c r="H185" s="828"/>
      <c r="I185" s="829"/>
    </row>
    <row r="186" spans="1:9" ht="12.75" customHeight="1" x14ac:dyDescent="0.2">
      <c r="A186" s="798"/>
      <c r="B186" s="599"/>
      <c r="C186" s="599"/>
      <c r="D186" s="602"/>
      <c r="E186" s="608"/>
      <c r="F186" s="609"/>
      <c r="G186" s="830"/>
      <c r="H186" s="831"/>
      <c r="I186" s="832"/>
    </row>
    <row r="187" spans="1:9" ht="12.75" customHeight="1" x14ac:dyDescent="0.2">
      <c r="A187" s="798"/>
      <c r="B187" s="599"/>
      <c r="C187" s="599"/>
      <c r="D187" s="602"/>
      <c r="E187" s="604" t="s">
        <v>467</v>
      </c>
      <c r="F187" s="605"/>
      <c r="G187" s="774"/>
      <c r="H187" s="775"/>
      <c r="I187" s="776"/>
    </row>
    <row r="188" spans="1:9" ht="12.75" customHeight="1" x14ac:dyDescent="0.2">
      <c r="A188" s="799"/>
      <c r="B188" s="600"/>
      <c r="C188" s="600"/>
      <c r="D188" s="603"/>
      <c r="E188" s="608"/>
      <c r="F188" s="609"/>
      <c r="G188" s="777"/>
      <c r="H188" s="778"/>
      <c r="I188" s="779"/>
    </row>
    <row r="189" spans="1:9" ht="12.75" customHeight="1" x14ac:dyDescent="0.2">
      <c r="A189" s="797" t="s">
        <v>581</v>
      </c>
      <c r="B189" s="598" t="s">
        <v>454</v>
      </c>
      <c r="C189" s="598" t="s">
        <v>141</v>
      </c>
      <c r="D189" s="602" t="s">
        <v>456</v>
      </c>
      <c r="E189" s="606" t="s">
        <v>457</v>
      </c>
      <c r="F189" s="607"/>
      <c r="G189" s="765"/>
      <c r="H189" s="766"/>
      <c r="I189" s="767"/>
    </row>
    <row r="190" spans="1:9" ht="12.75" customHeight="1" x14ac:dyDescent="0.2">
      <c r="A190" s="798"/>
      <c r="B190" s="599"/>
      <c r="C190" s="599"/>
      <c r="D190" s="602"/>
      <c r="E190" s="606"/>
      <c r="F190" s="607"/>
      <c r="G190" s="768"/>
      <c r="H190" s="833"/>
      <c r="I190" s="770"/>
    </row>
    <row r="191" spans="1:9" ht="12.75" customHeight="1" x14ac:dyDescent="0.2">
      <c r="A191" s="798"/>
      <c r="B191" s="599"/>
      <c r="C191" s="599"/>
      <c r="D191" s="602"/>
      <c r="E191" s="606"/>
      <c r="F191" s="607"/>
      <c r="G191" s="768"/>
      <c r="H191" s="833"/>
      <c r="I191" s="770"/>
    </row>
    <row r="192" spans="1:9" ht="12.75" customHeight="1" x14ac:dyDescent="0.2">
      <c r="A192" s="798"/>
      <c r="B192" s="599"/>
      <c r="C192" s="599"/>
      <c r="D192" s="602"/>
      <c r="E192" s="606"/>
      <c r="F192" s="607"/>
      <c r="G192" s="768"/>
      <c r="H192" s="833"/>
      <c r="I192" s="770"/>
    </row>
    <row r="193" spans="1:9" ht="12.75" customHeight="1" x14ac:dyDescent="0.2">
      <c r="A193" s="798"/>
      <c r="B193" s="599"/>
      <c r="C193" s="599"/>
      <c r="D193" s="603"/>
      <c r="E193" s="608"/>
      <c r="F193" s="609"/>
      <c r="G193" s="771"/>
      <c r="H193" s="772"/>
      <c r="I193" s="773"/>
    </row>
    <row r="194" spans="1:9" ht="12.75" customHeight="1" x14ac:dyDescent="0.2">
      <c r="A194" s="798"/>
      <c r="B194" s="599"/>
      <c r="C194" s="599"/>
      <c r="D194" s="601" t="s">
        <v>458</v>
      </c>
      <c r="E194" s="604" t="s">
        <v>459</v>
      </c>
      <c r="F194" s="605"/>
      <c r="G194" s="765"/>
      <c r="H194" s="766"/>
      <c r="I194" s="767"/>
    </row>
    <row r="195" spans="1:9" ht="12.75" customHeight="1" x14ac:dyDescent="0.2">
      <c r="A195" s="798"/>
      <c r="B195" s="599"/>
      <c r="C195" s="599"/>
      <c r="D195" s="602"/>
      <c r="E195" s="606"/>
      <c r="F195" s="607"/>
      <c r="G195" s="768"/>
      <c r="H195" s="769"/>
      <c r="I195" s="770"/>
    </row>
    <row r="196" spans="1:9" ht="12.75" customHeight="1" x14ac:dyDescent="0.2">
      <c r="A196" s="798"/>
      <c r="B196" s="599"/>
      <c r="C196" s="599"/>
      <c r="D196" s="602"/>
      <c r="E196" s="606"/>
      <c r="F196" s="607"/>
      <c r="G196" s="768"/>
      <c r="H196" s="769"/>
      <c r="I196" s="770"/>
    </row>
    <row r="197" spans="1:9" ht="12.75" customHeight="1" x14ac:dyDescent="0.2">
      <c r="A197" s="798"/>
      <c r="B197" s="599"/>
      <c r="C197" s="599"/>
      <c r="D197" s="602"/>
      <c r="E197" s="606"/>
      <c r="F197" s="607"/>
      <c r="G197" s="768"/>
      <c r="H197" s="769"/>
      <c r="I197" s="770"/>
    </row>
    <row r="198" spans="1:9" ht="12.75" customHeight="1" x14ac:dyDescent="0.2">
      <c r="A198" s="798"/>
      <c r="B198" s="599"/>
      <c r="C198" s="599"/>
      <c r="D198" s="603"/>
      <c r="E198" s="608"/>
      <c r="F198" s="609"/>
      <c r="G198" s="771"/>
      <c r="H198" s="772"/>
      <c r="I198" s="773"/>
    </row>
    <row r="199" spans="1:9" ht="12.75" customHeight="1" x14ac:dyDescent="0.2">
      <c r="A199" s="798"/>
      <c r="B199" s="599"/>
      <c r="C199" s="599"/>
      <c r="D199" s="601" t="s">
        <v>460</v>
      </c>
      <c r="E199" s="604" t="s">
        <v>461</v>
      </c>
      <c r="F199" s="605"/>
      <c r="G199" s="765"/>
      <c r="H199" s="766"/>
      <c r="I199" s="767"/>
    </row>
    <row r="200" spans="1:9" ht="12.75" customHeight="1" x14ac:dyDescent="0.2">
      <c r="A200" s="798"/>
      <c r="B200" s="599"/>
      <c r="C200" s="599"/>
      <c r="D200" s="602"/>
      <c r="E200" s="606"/>
      <c r="F200" s="607"/>
      <c r="G200" s="768"/>
      <c r="H200" s="769"/>
      <c r="I200" s="770"/>
    </row>
    <row r="201" spans="1:9" ht="12.75" customHeight="1" x14ac:dyDescent="0.2">
      <c r="A201" s="798"/>
      <c r="B201" s="599"/>
      <c r="C201" s="599"/>
      <c r="D201" s="602"/>
      <c r="E201" s="606"/>
      <c r="F201" s="607"/>
      <c r="G201" s="768"/>
      <c r="H201" s="769"/>
      <c r="I201" s="770"/>
    </row>
    <row r="202" spans="1:9" ht="12.75" customHeight="1" x14ac:dyDescent="0.2">
      <c r="A202" s="798"/>
      <c r="B202" s="599"/>
      <c r="C202" s="599"/>
      <c r="D202" s="602"/>
      <c r="E202" s="606"/>
      <c r="F202" s="607"/>
      <c r="G202" s="768"/>
      <c r="H202" s="769"/>
      <c r="I202" s="770"/>
    </row>
    <row r="203" spans="1:9" ht="12.75" customHeight="1" x14ac:dyDescent="0.2">
      <c r="A203" s="798"/>
      <c r="B203" s="599"/>
      <c r="C203" s="599"/>
      <c r="D203" s="602"/>
      <c r="E203" s="608"/>
      <c r="F203" s="609"/>
      <c r="G203" s="771"/>
      <c r="H203" s="772"/>
      <c r="I203" s="773"/>
    </row>
    <row r="204" spans="1:9" ht="12.75" customHeight="1" x14ac:dyDescent="0.2">
      <c r="A204" s="798"/>
      <c r="B204" s="599"/>
      <c r="C204" s="599"/>
      <c r="D204" s="602"/>
      <c r="E204" s="604" t="s">
        <v>462</v>
      </c>
      <c r="F204" s="605"/>
      <c r="G204" s="774"/>
      <c r="H204" s="775"/>
      <c r="I204" s="776"/>
    </row>
    <row r="205" spans="1:9" ht="12.75" customHeight="1" x14ac:dyDescent="0.2">
      <c r="A205" s="798"/>
      <c r="B205" s="599"/>
      <c r="C205" s="599"/>
      <c r="D205" s="602"/>
      <c r="E205" s="608"/>
      <c r="F205" s="609"/>
      <c r="G205" s="777"/>
      <c r="H205" s="778"/>
      <c r="I205" s="779"/>
    </row>
    <row r="206" spans="1:9" ht="12.75" customHeight="1" x14ac:dyDescent="0.2">
      <c r="A206" s="798"/>
      <c r="B206" s="599"/>
      <c r="C206" s="599"/>
      <c r="D206" s="602"/>
      <c r="E206" s="604" t="s">
        <v>463</v>
      </c>
      <c r="F206" s="605"/>
      <c r="G206" s="765"/>
      <c r="H206" s="766"/>
      <c r="I206" s="767"/>
    </row>
    <row r="207" spans="1:9" ht="12.75" customHeight="1" x14ac:dyDescent="0.2">
      <c r="A207" s="798"/>
      <c r="B207" s="599"/>
      <c r="C207" s="599"/>
      <c r="D207" s="602"/>
      <c r="E207" s="606"/>
      <c r="F207" s="607"/>
      <c r="G207" s="768"/>
      <c r="H207" s="769"/>
      <c r="I207" s="770"/>
    </row>
    <row r="208" spans="1:9" ht="12.75" customHeight="1" x14ac:dyDescent="0.2">
      <c r="A208" s="798"/>
      <c r="B208" s="599"/>
      <c r="C208" s="599"/>
      <c r="D208" s="602"/>
      <c r="E208" s="606"/>
      <c r="F208" s="607"/>
      <c r="G208" s="768"/>
      <c r="H208" s="769"/>
      <c r="I208" s="770"/>
    </row>
    <row r="209" spans="1:9" ht="12.75" customHeight="1" x14ac:dyDescent="0.2">
      <c r="A209" s="798"/>
      <c r="B209" s="599"/>
      <c r="C209" s="599"/>
      <c r="D209" s="602"/>
      <c r="E209" s="606"/>
      <c r="F209" s="607"/>
      <c r="G209" s="768"/>
      <c r="H209" s="769"/>
      <c r="I209" s="770"/>
    </row>
    <row r="210" spans="1:9" ht="12.75" customHeight="1" x14ac:dyDescent="0.2">
      <c r="A210" s="798"/>
      <c r="B210" s="599"/>
      <c r="C210" s="599"/>
      <c r="D210" s="602"/>
      <c r="E210" s="608"/>
      <c r="F210" s="609"/>
      <c r="G210" s="771"/>
      <c r="H210" s="772"/>
      <c r="I210" s="773"/>
    </row>
    <row r="211" spans="1:9" ht="12.75" customHeight="1" x14ac:dyDescent="0.2">
      <c r="A211" s="798"/>
      <c r="B211" s="599"/>
      <c r="C211" s="599"/>
      <c r="D211" s="602"/>
      <c r="E211" s="604" t="s">
        <v>464</v>
      </c>
      <c r="F211" s="605"/>
      <c r="G211" s="774"/>
      <c r="H211" s="775"/>
      <c r="I211" s="776"/>
    </row>
    <row r="212" spans="1:9" ht="12.75" customHeight="1" x14ac:dyDescent="0.2">
      <c r="A212" s="798"/>
      <c r="B212" s="599"/>
      <c r="C212" s="599"/>
      <c r="D212" s="603"/>
      <c r="E212" s="608"/>
      <c r="F212" s="609"/>
      <c r="G212" s="777"/>
      <c r="H212" s="778"/>
      <c r="I212" s="779"/>
    </row>
    <row r="213" spans="1:9" ht="12.75" customHeight="1" x14ac:dyDescent="0.2">
      <c r="A213" s="798"/>
      <c r="B213" s="599"/>
      <c r="C213" s="599"/>
      <c r="D213" s="601" t="s">
        <v>465</v>
      </c>
      <c r="E213" s="604" t="s">
        <v>466</v>
      </c>
      <c r="F213" s="605"/>
      <c r="G213" s="765"/>
      <c r="H213" s="766"/>
      <c r="I213" s="767"/>
    </row>
    <row r="214" spans="1:9" ht="12.75" customHeight="1" x14ac:dyDescent="0.2">
      <c r="A214" s="798"/>
      <c r="B214" s="599"/>
      <c r="C214" s="599"/>
      <c r="D214" s="602"/>
      <c r="E214" s="606"/>
      <c r="F214" s="607"/>
      <c r="G214" s="768"/>
      <c r="H214" s="769"/>
      <c r="I214" s="770"/>
    </row>
    <row r="215" spans="1:9" ht="12.75" customHeight="1" x14ac:dyDescent="0.2">
      <c r="A215" s="798"/>
      <c r="B215" s="599"/>
      <c r="C215" s="599"/>
      <c r="D215" s="602"/>
      <c r="E215" s="606"/>
      <c r="F215" s="607"/>
      <c r="G215" s="768"/>
      <c r="H215" s="769"/>
      <c r="I215" s="770"/>
    </row>
    <row r="216" spans="1:9" ht="12.75" customHeight="1" x14ac:dyDescent="0.2">
      <c r="A216" s="798"/>
      <c r="B216" s="599"/>
      <c r="C216" s="599"/>
      <c r="D216" s="602"/>
      <c r="E216" s="606"/>
      <c r="F216" s="607"/>
      <c r="G216" s="768"/>
      <c r="H216" s="769"/>
      <c r="I216" s="770"/>
    </row>
    <row r="217" spans="1:9" ht="12.75" customHeight="1" x14ac:dyDescent="0.2">
      <c r="A217" s="798"/>
      <c r="B217" s="599"/>
      <c r="C217" s="599"/>
      <c r="D217" s="602"/>
      <c r="E217" s="608"/>
      <c r="F217" s="609"/>
      <c r="G217" s="771"/>
      <c r="H217" s="772"/>
      <c r="I217" s="773"/>
    </row>
    <row r="218" spans="1:9" ht="12.75" customHeight="1" x14ac:dyDescent="0.2">
      <c r="A218" s="798"/>
      <c r="B218" s="599"/>
      <c r="C218" s="599"/>
      <c r="D218" s="602"/>
      <c r="E218" s="604" t="s">
        <v>467</v>
      </c>
      <c r="F218" s="605"/>
      <c r="G218" s="774"/>
      <c r="H218" s="775"/>
      <c r="I218" s="776"/>
    </row>
    <row r="219" spans="1:9" ht="12.75" customHeight="1" x14ac:dyDescent="0.2">
      <c r="A219" s="799"/>
      <c r="B219" s="600"/>
      <c r="C219" s="600"/>
      <c r="D219" s="603"/>
      <c r="E219" s="608"/>
      <c r="F219" s="609"/>
      <c r="G219" s="777"/>
      <c r="H219" s="778"/>
      <c r="I219" s="779"/>
    </row>
    <row r="220" spans="1:9" ht="12.75" customHeight="1" x14ac:dyDescent="0.2">
      <c r="A220" s="797" t="s">
        <v>582</v>
      </c>
      <c r="B220" s="598" t="s">
        <v>454</v>
      </c>
      <c r="C220" s="598" t="s">
        <v>141</v>
      </c>
      <c r="D220" s="602" t="s">
        <v>456</v>
      </c>
      <c r="E220" s="606" t="s">
        <v>457</v>
      </c>
      <c r="F220" s="607"/>
      <c r="G220" s="765"/>
      <c r="H220" s="766"/>
      <c r="I220" s="767"/>
    </row>
    <row r="221" spans="1:9" ht="12.75" customHeight="1" x14ac:dyDescent="0.2">
      <c r="A221" s="798"/>
      <c r="B221" s="599"/>
      <c r="C221" s="599"/>
      <c r="D221" s="602"/>
      <c r="E221" s="606"/>
      <c r="F221" s="607"/>
      <c r="G221" s="768"/>
      <c r="H221" s="769"/>
      <c r="I221" s="770"/>
    </row>
    <row r="222" spans="1:9" ht="12.75" customHeight="1" x14ac:dyDescent="0.2">
      <c r="A222" s="798"/>
      <c r="B222" s="599"/>
      <c r="C222" s="599"/>
      <c r="D222" s="602"/>
      <c r="E222" s="606"/>
      <c r="F222" s="607"/>
      <c r="G222" s="768"/>
      <c r="H222" s="769"/>
      <c r="I222" s="770"/>
    </row>
    <row r="223" spans="1:9" ht="12.75" customHeight="1" x14ac:dyDescent="0.2">
      <c r="A223" s="798"/>
      <c r="B223" s="599"/>
      <c r="C223" s="599"/>
      <c r="D223" s="602"/>
      <c r="E223" s="606"/>
      <c r="F223" s="607"/>
      <c r="G223" s="768"/>
      <c r="H223" s="769"/>
      <c r="I223" s="770"/>
    </row>
    <row r="224" spans="1:9" ht="12.75" customHeight="1" x14ac:dyDescent="0.2">
      <c r="A224" s="798"/>
      <c r="B224" s="599"/>
      <c r="C224" s="599"/>
      <c r="D224" s="603"/>
      <c r="E224" s="608"/>
      <c r="F224" s="609"/>
      <c r="G224" s="771"/>
      <c r="H224" s="772"/>
      <c r="I224" s="773"/>
    </row>
    <row r="225" spans="1:9" ht="12.75" customHeight="1" x14ac:dyDescent="0.2">
      <c r="A225" s="798"/>
      <c r="B225" s="599"/>
      <c r="C225" s="599"/>
      <c r="D225" s="601" t="s">
        <v>458</v>
      </c>
      <c r="E225" s="604" t="s">
        <v>459</v>
      </c>
      <c r="F225" s="605"/>
      <c r="G225" s="765"/>
      <c r="H225" s="766"/>
      <c r="I225" s="767"/>
    </row>
    <row r="226" spans="1:9" ht="12.75" customHeight="1" x14ac:dyDescent="0.2">
      <c r="A226" s="798"/>
      <c r="B226" s="599"/>
      <c r="C226" s="599"/>
      <c r="D226" s="602"/>
      <c r="E226" s="606"/>
      <c r="F226" s="607"/>
      <c r="G226" s="768"/>
      <c r="H226" s="769"/>
      <c r="I226" s="770"/>
    </row>
    <row r="227" spans="1:9" ht="12.75" customHeight="1" x14ac:dyDescent="0.2">
      <c r="A227" s="798"/>
      <c r="B227" s="599"/>
      <c r="C227" s="599"/>
      <c r="D227" s="602"/>
      <c r="E227" s="606"/>
      <c r="F227" s="607"/>
      <c r="G227" s="768"/>
      <c r="H227" s="769"/>
      <c r="I227" s="770"/>
    </row>
    <row r="228" spans="1:9" ht="12.75" customHeight="1" x14ac:dyDescent="0.2">
      <c r="A228" s="798"/>
      <c r="B228" s="599"/>
      <c r="C228" s="599"/>
      <c r="D228" s="602"/>
      <c r="E228" s="606"/>
      <c r="F228" s="607"/>
      <c r="G228" s="768"/>
      <c r="H228" s="769"/>
      <c r="I228" s="770"/>
    </row>
    <row r="229" spans="1:9" ht="12.75" customHeight="1" x14ac:dyDescent="0.2">
      <c r="A229" s="798"/>
      <c r="B229" s="599"/>
      <c r="C229" s="599"/>
      <c r="D229" s="603"/>
      <c r="E229" s="608"/>
      <c r="F229" s="609"/>
      <c r="G229" s="771"/>
      <c r="H229" s="772"/>
      <c r="I229" s="773"/>
    </row>
    <row r="230" spans="1:9" ht="12.75" customHeight="1" x14ac:dyDescent="0.2">
      <c r="A230" s="798"/>
      <c r="B230" s="599"/>
      <c r="C230" s="599"/>
      <c r="D230" s="601" t="s">
        <v>460</v>
      </c>
      <c r="E230" s="604" t="s">
        <v>461</v>
      </c>
      <c r="F230" s="605"/>
      <c r="G230" s="765"/>
      <c r="H230" s="766"/>
      <c r="I230" s="767"/>
    </row>
    <row r="231" spans="1:9" ht="12.75" customHeight="1" x14ac:dyDescent="0.2">
      <c r="A231" s="798"/>
      <c r="B231" s="599"/>
      <c r="C231" s="599"/>
      <c r="D231" s="602"/>
      <c r="E231" s="606"/>
      <c r="F231" s="607"/>
      <c r="G231" s="768"/>
      <c r="H231" s="769"/>
      <c r="I231" s="770"/>
    </row>
    <row r="232" spans="1:9" ht="12.75" customHeight="1" x14ac:dyDescent="0.2">
      <c r="A232" s="798"/>
      <c r="B232" s="599"/>
      <c r="C232" s="599"/>
      <c r="D232" s="602"/>
      <c r="E232" s="606"/>
      <c r="F232" s="607"/>
      <c r="G232" s="768"/>
      <c r="H232" s="769"/>
      <c r="I232" s="770"/>
    </row>
    <row r="233" spans="1:9" ht="12.75" customHeight="1" x14ac:dyDescent="0.2">
      <c r="A233" s="798"/>
      <c r="B233" s="599"/>
      <c r="C233" s="599"/>
      <c r="D233" s="602"/>
      <c r="E233" s="606"/>
      <c r="F233" s="607"/>
      <c r="G233" s="768"/>
      <c r="H233" s="769"/>
      <c r="I233" s="770"/>
    </row>
    <row r="234" spans="1:9" ht="12.75" customHeight="1" x14ac:dyDescent="0.2">
      <c r="A234" s="798"/>
      <c r="B234" s="599"/>
      <c r="C234" s="599"/>
      <c r="D234" s="602"/>
      <c r="E234" s="608"/>
      <c r="F234" s="609"/>
      <c r="G234" s="771"/>
      <c r="H234" s="772"/>
      <c r="I234" s="773"/>
    </row>
    <row r="235" spans="1:9" ht="12.75" customHeight="1" x14ac:dyDescent="0.2">
      <c r="A235" s="798"/>
      <c r="B235" s="599"/>
      <c r="C235" s="599"/>
      <c r="D235" s="602"/>
      <c r="E235" s="604" t="s">
        <v>462</v>
      </c>
      <c r="F235" s="605"/>
      <c r="G235" s="774"/>
      <c r="H235" s="775"/>
      <c r="I235" s="776"/>
    </row>
    <row r="236" spans="1:9" ht="12.75" customHeight="1" x14ac:dyDescent="0.2">
      <c r="A236" s="798"/>
      <c r="B236" s="599"/>
      <c r="C236" s="599"/>
      <c r="D236" s="602"/>
      <c r="E236" s="608"/>
      <c r="F236" s="609"/>
      <c r="G236" s="777"/>
      <c r="H236" s="778"/>
      <c r="I236" s="779"/>
    </row>
    <row r="237" spans="1:9" ht="12.75" customHeight="1" x14ac:dyDescent="0.2">
      <c r="A237" s="798"/>
      <c r="B237" s="599"/>
      <c r="C237" s="599"/>
      <c r="D237" s="602"/>
      <c r="E237" s="604" t="s">
        <v>463</v>
      </c>
      <c r="F237" s="605"/>
      <c r="G237" s="765"/>
      <c r="H237" s="766"/>
      <c r="I237" s="767"/>
    </row>
    <row r="238" spans="1:9" ht="12.75" customHeight="1" x14ac:dyDescent="0.2">
      <c r="A238" s="798"/>
      <c r="B238" s="599"/>
      <c r="C238" s="599"/>
      <c r="D238" s="602"/>
      <c r="E238" s="606"/>
      <c r="F238" s="607"/>
      <c r="G238" s="768"/>
      <c r="H238" s="769"/>
      <c r="I238" s="770"/>
    </row>
    <row r="239" spans="1:9" ht="12.75" customHeight="1" x14ac:dyDescent="0.2">
      <c r="A239" s="798"/>
      <c r="B239" s="599"/>
      <c r="C239" s="599"/>
      <c r="D239" s="602"/>
      <c r="E239" s="606"/>
      <c r="F239" s="607"/>
      <c r="G239" s="768"/>
      <c r="H239" s="769"/>
      <c r="I239" s="770"/>
    </row>
    <row r="240" spans="1:9" ht="12.75" customHeight="1" x14ac:dyDescent="0.2">
      <c r="A240" s="798"/>
      <c r="B240" s="599"/>
      <c r="C240" s="599"/>
      <c r="D240" s="602"/>
      <c r="E240" s="606"/>
      <c r="F240" s="607"/>
      <c r="G240" s="768"/>
      <c r="H240" s="769"/>
      <c r="I240" s="770"/>
    </row>
    <row r="241" spans="1:9" ht="12.75" customHeight="1" x14ac:dyDescent="0.2">
      <c r="A241" s="798"/>
      <c r="B241" s="599"/>
      <c r="C241" s="599"/>
      <c r="D241" s="602"/>
      <c r="E241" s="608"/>
      <c r="F241" s="609"/>
      <c r="G241" s="771"/>
      <c r="H241" s="772"/>
      <c r="I241" s="773"/>
    </row>
    <row r="242" spans="1:9" ht="12.75" customHeight="1" x14ac:dyDescent="0.2">
      <c r="A242" s="798"/>
      <c r="B242" s="599"/>
      <c r="C242" s="599"/>
      <c r="D242" s="602"/>
      <c r="E242" s="604" t="s">
        <v>464</v>
      </c>
      <c r="F242" s="605"/>
      <c r="G242" s="774"/>
      <c r="H242" s="775"/>
      <c r="I242" s="776"/>
    </row>
    <row r="243" spans="1:9" ht="12.75" customHeight="1" x14ac:dyDescent="0.2">
      <c r="A243" s="798"/>
      <c r="B243" s="599"/>
      <c r="C243" s="599"/>
      <c r="D243" s="603"/>
      <c r="E243" s="608"/>
      <c r="F243" s="609"/>
      <c r="G243" s="777"/>
      <c r="H243" s="778"/>
      <c r="I243" s="779"/>
    </row>
    <row r="244" spans="1:9" ht="12.75" customHeight="1" x14ac:dyDescent="0.2">
      <c r="A244" s="798"/>
      <c r="B244" s="599"/>
      <c r="C244" s="599"/>
      <c r="D244" s="601" t="s">
        <v>465</v>
      </c>
      <c r="E244" s="604" t="s">
        <v>466</v>
      </c>
      <c r="F244" s="605"/>
      <c r="G244" s="765"/>
      <c r="H244" s="766"/>
      <c r="I244" s="767"/>
    </row>
    <row r="245" spans="1:9" ht="12.75" customHeight="1" x14ac:dyDescent="0.2">
      <c r="A245" s="798"/>
      <c r="B245" s="599"/>
      <c r="C245" s="599"/>
      <c r="D245" s="602"/>
      <c r="E245" s="606"/>
      <c r="F245" s="607"/>
      <c r="G245" s="768"/>
      <c r="H245" s="769"/>
      <c r="I245" s="770"/>
    </row>
    <row r="246" spans="1:9" ht="12.75" customHeight="1" x14ac:dyDescent="0.2">
      <c r="A246" s="798"/>
      <c r="B246" s="599"/>
      <c r="C246" s="599"/>
      <c r="D246" s="602"/>
      <c r="E246" s="606"/>
      <c r="F246" s="607"/>
      <c r="G246" s="768"/>
      <c r="H246" s="769"/>
      <c r="I246" s="770"/>
    </row>
    <row r="247" spans="1:9" ht="12.75" customHeight="1" x14ac:dyDescent="0.2">
      <c r="A247" s="798"/>
      <c r="B247" s="599"/>
      <c r="C247" s="599"/>
      <c r="D247" s="602"/>
      <c r="E247" s="606"/>
      <c r="F247" s="607"/>
      <c r="G247" s="768"/>
      <c r="H247" s="769"/>
      <c r="I247" s="770"/>
    </row>
    <row r="248" spans="1:9" ht="12.75" customHeight="1" x14ac:dyDescent="0.2">
      <c r="A248" s="798"/>
      <c r="B248" s="599"/>
      <c r="C248" s="599"/>
      <c r="D248" s="602"/>
      <c r="E248" s="608"/>
      <c r="F248" s="609"/>
      <c r="G248" s="771"/>
      <c r="H248" s="772"/>
      <c r="I248" s="773"/>
    </row>
    <row r="249" spans="1:9" ht="12.75" customHeight="1" x14ac:dyDescent="0.2">
      <c r="A249" s="798"/>
      <c r="B249" s="599"/>
      <c r="C249" s="599"/>
      <c r="D249" s="602"/>
      <c r="E249" s="604" t="s">
        <v>467</v>
      </c>
      <c r="F249" s="605"/>
      <c r="G249" s="774"/>
      <c r="H249" s="775"/>
      <c r="I249" s="776"/>
    </row>
    <row r="250" spans="1:9" ht="12.75" customHeight="1" x14ac:dyDescent="0.2">
      <c r="A250" s="799"/>
      <c r="B250" s="600"/>
      <c r="C250" s="600"/>
      <c r="D250" s="603"/>
      <c r="E250" s="608"/>
      <c r="F250" s="609"/>
      <c r="G250" s="777"/>
      <c r="H250" s="778"/>
      <c r="I250" s="779"/>
    </row>
    <row r="251" spans="1:9" ht="12.75" customHeight="1" x14ac:dyDescent="0.2">
      <c r="A251" s="598" t="s">
        <v>583</v>
      </c>
      <c r="B251" s="598" t="s">
        <v>468</v>
      </c>
      <c r="C251" s="598" t="s">
        <v>141</v>
      </c>
      <c r="D251" s="783" t="s">
        <v>456</v>
      </c>
      <c r="E251" s="623" t="s">
        <v>469</v>
      </c>
      <c r="F251" s="624"/>
      <c r="G251" s="765"/>
      <c r="H251" s="766"/>
      <c r="I251" s="767"/>
    </row>
    <row r="252" spans="1:9" ht="12.75" customHeight="1" x14ac:dyDescent="0.2">
      <c r="A252" s="599"/>
      <c r="B252" s="599"/>
      <c r="C252" s="599"/>
      <c r="D252" s="784"/>
      <c r="E252" s="625"/>
      <c r="F252" s="626"/>
      <c r="G252" s="768"/>
      <c r="H252" s="769"/>
      <c r="I252" s="770"/>
    </row>
    <row r="253" spans="1:9" ht="12.75" customHeight="1" x14ac:dyDescent="0.2">
      <c r="A253" s="599"/>
      <c r="B253" s="599"/>
      <c r="C253" s="599"/>
      <c r="D253" s="784"/>
      <c r="E253" s="625"/>
      <c r="F253" s="626"/>
      <c r="G253" s="768"/>
      <c r="H253" s="769"/>
      <c r="I253" s="770"/>
    </row>
    <row r="254" spans="1:9" ht="12.75" customHeight="1" x14ac:dyDescent="0.2">
      <c r="A254" s="599"/>
      <c r="B254" s="599"/>
      <c r="C254" s="599"/>
      <c r="D254" s="784"/>
      <c r="E254" s="625"/>
      <c r="F254" s="626"/>
      <c r="G254" s="768"/>
      <c r="H254" s="769"/>
      <c r="I254" s="770"/>
    </row>
    <row r="255" spans="1:9" ht="12.75" customHeight="1" x14ac:dyDescent="0.2">
      <c r="A255" s="600"/>
      <c r="B255" s="600"/>
      <c r="C255" s="600"/>
      <c r="D255" s="785"/>
      <c r="E255" s="627"/>
      <c r="F255" s="628"/>
      <c r="G255" s="771"/>
      <c r="H255" s="772"/>
      <c r="I255" s="773"/>
    </row>
    <row r="256" spans="1:9" ht="12.75" customHeight="1" x14ac:dyDescent="0.2">
      <c r="A256" s="598" t="s">
        <v>89</v>
      </c>
      <c r="B256" s="598" t="s">
        <v>468</v>
      </c>
      <c r="C256" s="598" t="s">
        <v>149</v>
      </c>
      <c r="D256" s="783" t="s">
        <v>456</v>
      </c>
      <c r="E256" s="623" t="s">
        <v>469</v>
      </c>
      <c r="F256" s="624"/>
      <c r="G256" s="834" t="s">
        <v>584</v>
      </c>
      <c r="H256" s="835"/>
      <c r="I256" s="836"/>
    </row>
    <row r="257" spans="1:9" ht="12.75" customHeight="1" x14ac:dyDescent="0.2">
      <c r="A257" s="599"/>
      <c r="B257" s="599"/>
      <c r="C257" s="599"/>
      <c r="D257" s="784"/>
      <c r="E257" s="625"/>
      <c r="F257" s="626"/>
      <c r="G257" s="837"/>
      <c r="H257" s="838"/>
      <c r="I257" s="839"/>
    </row>
    <row r="258" spans="1:9" ht="12.75" customHeight="1" x14ac:dyDescent="0.2">
      <c r="A258" s="599"/>
      <c r="B258" s="599"/>
      <c r="C258" s="599"/>
      <c r="D258" s="784"/>
      <c r="E258" s="625"/>
      <c r="F258" s="626"/>
      <c r="G258" s="837"/>
      <c r="H258" s="838"/>
      <c r="I258" s="839"/>
    </row>
    <row r="259" spans="1:9" ht="12.75" customHeight="1" x14ac:dyDescent="0.2">
      <c r="A259" s="599"/>
      <c r="B259" s="599"/>
      <c r="C259" s="599"/>
      <c r="D259" s="784"/>
      <c r="E259" s="625"/>
      <c r="F259" s="626"/>
      <c r="G259" s="837"/>
      <c r="H259" s="838"/>
      <c r="I259" s="839"/>
    </row>
    <row r="260" spans="1:9" ht="12.75" customHeight="1" x14ac:dyDescent="0.2">
      <c r="A260" s="600"/>
      <c r="B260" s="600"/>
      <c r="C260" s="600"/>
      <c r="D260" s="785"/>
      <c r="E260" s="627"/>
      <c r="F260" s="628"/>
      <c r="G260" s="840"/>
      <c r="H260" s="841"/>
      <c r="I260" s="842"/>
    </row>
  </sheetData>
  <sheetProtection algorithmName="SHA-512" hashValue="fzzNkf/AHV+IVSGU752vjNMw1s7Nru7aWFOn/CQEFK1t0eEjJ9pH98tSL5iF8vc6KcEOdIQerKJHnfXvrmCfWg==" saltValue="TR9pOEYAY+OFIJgYc89Srg==" spinCount="100000" sheet="1" objects="1" scenarios="1"/>
  <mergeCells count="309">
    <mergeCell ref="A256:A260"/>
    <mergeCell ref="B256:B260"/>
    <mergeCell ref="C256:C260"/>
    <mergeCell ref="D256:D260"/>
    <mergeCell ref="E256:F260"/>
    <mergeCell ref="G256:I260"/>
    <mergeCell ref="A251:A255"/>
    <mergeCell ref="B251:B255"/>
    <mergeCell ref="C251:C255"/>
    <mergeCell ref="D251:D255"/>
    <mergeCell ref="E251:F255"/>
    <mergeCell ref="G251:I255"/>
    <mergeCell ref="A220:A250"/>
    <mergeCell ref="B220:B250"/>
    <mergeCell ref="C220:C250"/>
    <mergeCell ref="D220:D224"/>
    <mergeCell ref="E220:F224"/>
    <mergeCell ref="G220:I224"/>
    <mergeCell ref="D225:D229"/>
    <mergeCell ref="E225:F229"/>
    <mergeCell ref="G225:I229"/>
    <mergeCell ref="D230:D243"/>
    <mergeCell ref="E242:F243"/>
    <mergeCell ref="G242:I243"/>
    <mergeCell ref="D244:D250"/>
    <mergeCell ref="E244:F248"/>
    <mergeCell ref="G244:I248"/>
    <mergeCell ref="E249:F250"/>
    <mergeCell ref="G249:I250"/>
    <mergeCell ref="E230:F234"/>
    <mergeCell ref="G230:I234"/>
    <mergeCell ref="E235:F236"/>
    <mergeCell ref="G235:I236"/>
    <mergeCell ref="E237:F241"/>
    <mergeCell ref="G237:I241"/>
    <mergeCell ref="A189:A219"/>
    <mergeCell ref="B189:B219"/>
    <mergeCell ref="C189:C219"/>
    <mergeCell ref="D189:D193"/>
    <mergeCell ref="E189:F193"/>
    <mergeCell ref="G189:I193"/>
    <mergeCell ref="D194:D198"/>
    <mergeCell ref="E194:F198"/>
    <mergeCell ref="G194:I198"/>
    <mergeCell ref="D199:D212"/>
    <mergeCell ref="E211:F212"/>
    <mergeCell ref="G211:I212"/>
    <mergeCell ref="D213:D219"/>
    <mergeCell ref="E213:F217"/>
    <mergeCell ref="G213:I217"/>
    <mergeCell ref="E218:F219"/>
    <mergeCell ref="G218:I219"/>
    <mergeCell ref="E199:F203"/>
    <mergeCell ref="G199:I203"/>
    <mergeCell ref="E204:F205"/>
    <mergeCell ref="G204:I205"/>
    <mergeCell ref="E206:F210"/>
    <mergeCell ref="G206:I210"/>
    <mergeCell ref="A158:A188"/>
    <mergeCell ref="B158:B188"/>
    <mergeCell ref="C158:C188"/>
    <mergeCell ref="D158:D162"/>
    <mergeCell ref="E158:F162"/>
    <mergeCell ref="G158:I162"/>
    <mergeCell ref="D163:D167"/>
    <mergeCell ref="E163:F167"/>
    <mergeCell ref="G163:I167"/>
    <mergeCell ref="D168:D181"/>
    <mergeCell ref="E180:F181"/>
    <mergeCell ref="G180:I181"/>
    <mergeCell ref="D182:D188"/>
    <mergeCell ref="E182:F186"/>
    <mergeCell ref="G182:I186"/>
    <mergeCell ref="E187:F188"/>
    <mergeCell ref="G187:I188"/>
    <mergeCell ref="E168:F172"/>
    <mergeCell ref="G168:I172"/>
    <mergeCell ref="E173:F174"/>
    <mergeCell ref="G173:I174"/>
    <mergeCell ref="E175:F179"/>
    <mergeCell ref="G175:I179"/>
    <mergeCell ref="A151:C152"/>
    <mergeCell ref="D151:I152"/>
    <mergeCell ref="A153:C154"/>
    <mergeCell ref="D153:I154"/>
    <mergeCell ref="A156:I156"/>
    <mergeCell ref="D157:I157"/>
    <mergeCell ref="A144:C144"/>
    <mergeCell ref="A145:C146"/>
    <mergeCell ref="D145:I146"/>
    <mergeCell ref="A147:C148"/>
    <mergeCell ref="D147:I148"/>
    <mergeCell ref="A149:C150"/>
    <mergeCell ref="D149:I150"/>
    <mergeCell ref="A141:C141"/>
    <mergeCell ref="D141:E141"/>
    <mergeCell ref="F141:G141"/>
    <mergeCell ref="H141:I141"/>
    <mergeCell ref="A142:C142"/>
    <mergeCell ref="D142:E142"/>
    <mergeCell ref="F142:G142"/>
    <mergeCell ref="H142:I142"/>
    <mergeCell ref="D139:E139"/>
    <mergeCell ref="F139:G139"/>
    <mergeCell ref="H139:I139"/>
    <mergeCell ref="A140:C140"/>
    <mergeCell ref="D140:E140"/>
    <mergeCell ref="F140:G140"/>
    <mergeCell ref="H140:I140"/>
    <mergeCell ref="A133:I133"/>
    <mergeCell ref="A134:A137"/>
    <mergeCell ref="B134:B137"/>
    <mergeCell ref="C134:C137"/>
    <mergeCell ref="D134:D137"/>
    <mergeCell ref="E134:E137"/>
    <mergeCell ref="F134:F137"/>
    <mergeCell ref="G134:G137"/>
    <mergeCell ref="H134:H137"/>
    <mergeCell ref="I134:I137"/>
    <mergeCell ref="A129:A132"/>
    <mergeCell ref="B129:B132"/>
    <mergeCell ref="C129:C132"/>
    <mergeCell ref="D129:D132"/>
    <mergeCell ref="E129:E132"/>
    <mergeCell ref="F129:F132"/>
    <mergeCell ref="G129:G132"/>
    <mergeCell ref="H129:H132"/>
    <mergeCell ref="I129:I132"/>
    <mergeCell ref="A125:A128"/>
    <mergeCell ref="B125:B128"/>
    <mergeCell ref="C125:C128"/>
    <mergeCell ref="D125:D128"/>
    <mergeCell ref="E125:E128"/>
    <mergeCell ref="F125:F128"/>
    <mergeCell ref="G125:G128"/>
    <mergeCell ref="H125:H128"/>
    <mergeCell ref="I125:I128"/>
    <mergeCell ref="G117:G120"/>
    <mergeCell ref="H117:H120"/>
    <mergeCell ref="I117:I120"/>
    <mergeCell ref="A121:A124"/>
    <mergeCell ref="B121:B124"/>
    <mergeCell ref="C121:C124"/>
    <mergeCell ref="D121:D124"/>
    <mergeCell ref="E121:E124"/>
    <mergeCell ref="F121:F124"/>
    <mergeCell ref="G121:G124"/>
    <mergeCell ref="A117:A120"/>
    <mergeCell ref="B117:B120"/>
    <mergeCell ref="C117:C120"/>
    <mergeCell ref="D117:D120"/>
    <mergeCell ref="E117:E120"/>
    <mergeCell ref="F117:F120"/>
    <mergeCell ref="H121:H124"/>
    <mergeCell ref="I121:I124"/>
    <mergeCell ref="A112:I112"/>
    <mergeCell ref="A113:A116"/>
    <mergeCell ref="B113:B116"/>
    <mergeCell ref="C113:C116"/>
    <mergeCell ref="D113:D116"/>
    <mergeCell ref="E113:E116"/>
    <mergeCell ref="F113:F116"/>
    <mergeCell ref="G113:G116"/>
    <mergeCell ref="H113:H116"/>
    <mergeCell ref="I113:I116"/>
    <mergeCell ref="A108:A111"/>
    <mergeCell ref="B108:B111"/>
    <mergeCell ref="C108:C111"/>
    <mergeCell ref="D108:D111"/>
    <mergeCell ref="E108:E111"/>
    <mergeCell ref="F108:F111"/>
    <mergeCell ref="G108:G111"/>
    <mergeCell ref="H108:H111"/>
    <mergeCell ref="I108:I111"/>
    <mergeCell ref="A104:A107"/>
    <mergeCell ref="B104:B107"/>
    <mergeCell ref="C104:C107"/>
    <mergeCell ref="D104:D107"/>
    <mergeCell ref="E104:E107"/>
    <mergeCell ref="F104:F107"/>
    <mergeCell ref="G104:G107"/>
    <mergeCell ref="H104:H107"/>
    <mergeCell ref="I104:I107"/>
    <mergeCell ref="G96:G99"/>
    <mergeCell ref="H96:H99"/>
    <mergeCell ref="I96:I99"/>
    <mergeCell ref="A100:A103"/>
    <mergeCell ref="B100:B103"/>
    <mergeCell ref="C100:C103"/>
    <mergeCell ref="D100:D103"/>
    <mergeCell ref="E100:E103"/>
    <mergeCell ref="F100:F103"/>
    <mergeCell ref="G100:G103"/>
    <mergeCell ref="A96:A99"/>
    <mergeCell ref="B96:B99"/>
    <mergeCell ref="C96:C99"/>
    <mergeCell ref="D96:D99"/>
    <mergeCell ref="E96:E99"/>
    <mergeCell ref="F96:F99"/>
    <mergeCell ref="H100:H103"/>
    <mergeCell ref="I100:I103"/>
    <mergeCell ref="A92:A95"/>
    <mergeCell ref="B92:B95"/>
    <mergeCell ref="C92:C95"/>
    <mergeCell ref="D92:D95"/>
    <mergeCell ref="E92:E95"/>
    <mergeCell ref="F92:F95"/>
    <mergeCell ref="G92:G95"/>
    <mergeCell ref="H92:H95"/>
    <mergeCell ref="I92:I95"/>
    <mergeCell ref="A88:A91"/>
    <mergeCell ref="B88:B91"/>
    <mergeCell ref="C88:C91"/>
    <mergeCell ref="D88:D91"/>
    <mergeCell ref="E88:E91"/>
    <mergeCell ref="F88:F91"/>
    <mergeCell ref="G88:G91"/>
    <mergeCell ref="H88:H91"/>
    <mergeCell ref="I88:I91"/>
    <mergeCell ref="A84:A87"/>
    <mergeCell ref="B84:B87"/>
    <mergeCell ref="C84:C87"/>
    <mergeCell ref="D84:D87"/>
    <mergeCell ref="E84:E87"/>
    <mergeCell ref="F84:F87"/>
    <mergeCell ref="G84:G87"/>
    <mergeCell ref="H84:H87"/>
    <mergeCell ref="I84:I87"/>
    <mergeCell ref="A80:A83"/>
    <mergeCell ref="B80:B83"/>
    <mergeCell ref="C80:C83"/>
    <mergeCell ref="D80:D83"/>
    <mergeCell ref="E80:E83"/>
    <mergeCell ref="F80:F83"/>
    <mergeCell ref="G80:G83"/>
    <mergeCell ref="H80:H83"/>
    <mergeCell ref="I80:I83"/>
    <mergeCell ref="A75:I75"/>
    <mergeCell ref="A76:A79"/>
    <mergeCell ref="B76:B79"/>
    <mergeCell ref="C76:C79"/>
    <mergeCell ref="D76:D79"/>
    <mergeCell ref="E76:E79"/>
    <mergeCell ref="F76:F79"/>
    <mergeCell ref="G76:G79"/>
    <mergeCell ref="H76:H79"/>
    <mergeCell ref="I76:I79"/>
    <mergeCell ref="A67:C69"/>
    <mergeCell ref="D67:E69"/>
    <mergeCell ref="F67:G69"/>
    <mergeCell ref="H67:I69"/>
    <mergeCell ref="A71:A74"/>
    <mergeCell ref="B71:B74"/>
    <mergeCell ref="C71:C74"/>
    <mergeCell ref="D71:D74"/>
    <mergeCell ref="E71:E74"/>
    <mergeCell ref="F71:F74"/>
    <mergeCell ref="G71:G74"/>
    <mergeCell ref="H71:H74"/>
    <mergeCell ref="I71:I74"/>
    <mergeCell ref="A64:C64"/>
    <mergeCell ref="D64:E64"/>
    <mergeCell ref="F64:G64"/>
    <mergeCell ref="H64:I64"/>
    <mergeCell ref="A65:C66"/>
    <mergeCell ref="D65:E66"/>
    <mergeCell ref="F65:G66"/>
    <mergeCell ref="H65:I66"/>
    <mergeCell ref="A34:C62"/>
    <mergeCell ref="D34:E62"/>
    <mergeCell ref="F34:G62"/>
    <mergeCell ref="H34:I62"/>
    <mergeCell ref="A63:C63"/>
    <mergeCell ref="D63:E63"/>
    <mergeCell ref="F63:G63"/>
    <mergeCell ref="H63:I63"/>
    <mergeCell ref="A28:C30"/>
    <mergeCell ref="D28:I30"/>
    <mergeCell ref="D32:E32"/>
    <mergeCell ref="F32:G32"/>
    <mergeCell ref="H32:I32"/>
    <mergeCell ref="A33:C33"/>
    <mergeCell ref="D33:E33"/>
    <mergeCell ref="F33:G33"/>
    <mergeCell ref="H33:I33"/>
    <mergeCell ref="A25:C25"/>
    <mergeCell ref="D25:I25"/>
    <mergeCell ref="A26:C26"/>
    <mergeCell ref="D26:I26"/>
    <mergeCell ref="A27:C27"/>
    <mergeCell ref="D27:I27"/>
    <mergeCell ref="A22:C22"/>
    <mergeCell ref="D22:I22"/>
    <mergeCell ref="A23:C23"/>
    <mergeCell ref="D23:I23"/>
    <mergeCell ref="A24:C24"/>
    <mergeCell ref="D24:I24"/>
    <mergeCell ref="A11:C14"/>
    <mergeCell ref="D11:I14"/>
    <mergeCell ref="A16:C20"/>
    <mergeCell ref="D16:I20"/>
    <mergeCell ref="A21:C21"/>
    <mergeCell ref="D21:I21"/>
    <mergeCell ref="A8:C8"/>
    <mergeCell ref="D8:I8"/>
    <mergeCell ref="A9:C9"/>
    <mergeCell ref="D9:I9"/>
    <mergeCell ref="A10:C10"/>
    <mergeCell ref="D10:I10"/>
  </mergeCells>
  <conditionalFormatting sqref="G173:H174">
    <cfRule type="containsText" dxfId="212" priority="25" operator="containsText" text="Yes">
      <formula>NOT(ISERROR(SEARCH("Yes",G173)))</formula>
    </cfRule>
    <cfRule type="containsText" dxfId="211" priority="26" operator="containsText" text="No">
      <formula>NOT(ISERROR(SEARCH("No",G173)))</formula>
    </cfRule>
    <cfRule type="containsText" dxfId="210" priority="27" operator="containsText" text="N/A">
      <formula>NOT(ISERROR(SEARCH("N/A",G173)))</formula>
    </cfRule>
  </conditionalFormatting>
  <conditionalFormatting sqref="G180:H181">
    <cfRule type="containsText" dxfId="209" priority="22" operator="containsText" text="Yes">
      <formula>NOT(ISERROR(SEARCH("Yes",G180)))</formula>
    </cfRule>
    <cfRule type="containsText" dxfId="208" priority="23" operator="containsText" text="No">
      <formula>NOT(ISERROR(SEARCH("No",G180)))</formula>
    </cfRule>
    <cfRule type="containsText" dxfId="207" priority="24" operator="containsText" text="N/A">
      <formula>NOT(ISERROR(SEARCH("N/A",G180)))</formula>
    </cfRule>
  </conditionalFormatting>
  <conditionalFormatting sqref="G187:H188">
    <cfRule type="containsText" dxfId="206" priority="19" operator="containsText" text="Yes">
      <formula>NOT(ISERROR(SEARCH("Yes",G187)))</formula>
    </cfRule>
    <cfRule type="containsText" dxfId="205" priority="20" operator="containsText" text="No">
      <formula>NOT(ISERROR(SEARCH("No",G187)))</formula>
    </cfRule>
    <cfRule type="containsText" dxfId="204" priority="21" operator="containsText" text="N/A">
      <formula>NOT(ISERROR(SEARCH("N/A",G187)))</formula>
    </cfRule>
  </conditionalFormatting>
  <conditionalFormatting sqref="G235:H236">
    <cfRule type="containsText" dxfId="203" priority="16" operator="containsText" text="Yes">
      <formula>NOT(ISERROR(SEARCH("Yes",G235)))</formula>
    </cfRule>
    <cfRule type="containsText" dxfId="202" priority="17" operator="containsText" text="No">
      <formula>NOT(ISERROR(SEARCH("No",G235)))</formula>
    </cfRule>
    <cfRule type="containsText" dxfId="201" priority="18" operator="containsText" text="N/A">
      <formula>NOT(ISERROR(SEARCH("N/A",G235)))</formula>
    </cfRule>
  </conditionalFormatting>
  <conditionalFormatting sqref="G242:H243">
    <cfRule type="containsText" dxfId="200" priority="13" operator="containsText" text="Yes">
      <formula>NOT(ISERROR(SEARCH("Yes",G242)))</formula>
    </cfRule>
    <cfRule type="containsText" dxfId="199" priority="14" operator="containsText" text="No">
      <formula>NOT(ISERROR(SEARCH("No",G242)))</formula>
    </cfRule>
    <cfRule type="containsText" dxfId="198" priority="15" operator="containsText" text="N/A">
      <formula>NOT(ISERROR(SEARCH("N/A",G242)))</formula>
    </cfRule>
  </conditionalFormatting>
  <conditionalFormatting sqref="G249:H250">
    <cfRule type="containsText" dxfId="197" priority="10" operator="containsText" text="Yes">
      <formula>NOT(ISERROR(SEARCH("Yes",G249)))</formula>
    </cfRule>
    <cfRule type="containsText" dxfId="196" priority="11" operator="containsText" text="No">
      <formula>NOT(ISERROR(SEARCH("No",G249)))</formula>
    </cfRule>
    <cfRule type="containsText" dxfId="195" priority="12" operator="containsText" text="N/A">
      <formula>NOT(ISERROR(SEARCH("N/A",G249)))</formula>
    </cfRule>
  </conditionalFormatting>
  <conditionalFormatting sqref="G204:H205">
    <cfRule type="containsText" dxfId="194" priority="7" operator="containsText" text="Yes">
      <formula>NOT(ISERROR(SEARCH("Yes",G204)))</formula>
    </cfRule>
    <cfRule type="containsText" dxfId="193" priority="8" operator="containsText" text="No">
      <formula>NOT(ISERROR(SEARCH("No",G204)))</formula>
    </cfRule>
    <cfRule type="containsText" dxfId="192" priority="9" operator="containsText" text="N/A">
      <formula>NOT(ISERROR(SEARCH("N/A",G204)))</formula>
    </cfRule>
  </conditionalFormatting>
  <conditionalFormatting sqref="G211:H212">
    <cfRule type="containsText" dxfId="191" priority="4" operator="containsText" text="Yes">
      <formula>NOT(ISERROR(SEARCH("Yes",G211)))</formula>
    </cfRule>
    <cfRule type="containsText" dxfId="190" priority="5" operator="containsText" text="No">
      <formula>NOT(ISERROR(SEARCH("No",G211)))</formula>
    </cfRule>
    <cfRule type="containsText" dxfId="189" priority="6" operator="containsText" text="N/A">
      <formula>NOT(ISERROR(SEARCH("N/A",G211)))</formula>
    </cfRule>
  </conditionalFormatting>
  <conditionalFormatting sqref="G218:H219">
    <cfRule type="containsText" dxfId="188" priority="1" operator="containsText" text="Yes">
      <formula>NOT(ISERROR(SEARCH("Yes",G218)))</formula>
    </cfRule>
    <cfRule type="containsText" dxfId="187" priority="2" operator="containsText" text="No">
      <formula>NOT(ISERROR(SEARCH("No",G218)))</formula>
    </cfRule>
    <cfRule type="containsText" dxfId="186" priority="3" operator="containsText" text="N/A">
      <formula>NOT(ISERROR(SEARCH("N/A",G218)))</formula>
    </cfRule>
  </conditionalFormatting>
  <pageMargins left="0.7" right="0.7" top="0.75" bottom="0.75" header="0.3" footer="0.3"/>
  <pageSetup scale="49" fitToHeight="0" orientation="landscape" r:id="rId1"/>
  <drawing r:id="rId2"/>
  <legacyDrawing r:id="rId3"/>
  <controls>
    <mc:AlternateContent xmlns:mc="http://schemas.openxmlformats.org/markup-compatibility/2006">
      <mc:Choice Requires="x14">
        <control shapeId="13313"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3313" r:id="rId4" name="backMenuBtn"/>
      </mc:Fallback>
    </mc:AlternateContent>
    <mc:AlternateContent xmlns:mc="http://schemas.openxmlformats.org/markup-compatibility/2006">
      <mc:Choice Requires="x14">
        <control shapeId="13314" r:id="rId6" name="CommandButton1">
          <controlPr defaultSize="0" autoLine="0" r:id="rId7">
            <anchor moveWithCells="1">
              <from>
                <xdr:col>1</xdr:col>
                <xdr:colOff>1333500</xdr:colOff>
                <xdr:row>0</xdr:row>
                <xdr:rowOff>0</xdr:rowOff>
              </from>
              <to>
                <xdr:col>2</xdr:col>
                <xdr:colOff>1171575</xdr:colOff>
                <xdr:row>1</xdr:row>
                <xdr:rowOff>114300</xdr:rowOff>
              </to>
            </anchor>
          </controlPr>
        </control>
      </mc:Choice>
      <mc:Fallback>
        <control shapeId="13314" r:id="rId6" name="CommandButton1"/>
      </mc:Fallback>
    </mc:AlternateContent>
    <mc:AlternateContent xmlns:mc="http://schemas.openxmlformats.org/markup-compatibility/2006">
      <mc:Choice Requires="x14">
        <control shapeId="13315" r:id="rId8" name="CommandButton2">
          <controlPr defaultSize="0" autoLine="0" r:id="rId9">
            <anchor moveWithCells="1">
              <from>
                <xdr:col>1</xdr:col>
                <xdr:colOff>0</xdr:colOff>
                <xdr:row>0</xdr:row>
                <xdr:rowOff>9525</xdr:rowOff>
              </from>
              <to>
                <xdr:col>1</xdr:col>
                <xdr:colOff>1200150</xdr:colOff>
                <xdr:row>1</xdr:row>
                <xdr:rowOff>123825</xdr:rowOff>
              </to>
            </anchor>
          </controlPr>
        </control>
      </mc:Choice>
      <mc:Fallback>
        <control shapeId="13315"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Dropdown!$I$2:$I$5</xm:f>
          </x14:formula1>
          <xm:sqref>G173:I174 G180:I181 G249:I250 G235:I236 G242:I243 G187:I188 G218:I219 G204:I205 G211:I212</xm:sqref>
        </x14:dataValidation>
        <x14:dataValidation type="list" allowBlank="1" showInputMessage="1" showErrorMessage="1">
          <x14:formula1>
            <xm:f>Dropdown!$H$2:$H$13</xm:f>
          </x14:formula1>
          <xm:sqref>D67:I69 D142:I142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B050"/>
    <pageSetUpPr fitToPage="1"/>
  </sheetPr>
  <dimension ref="A1:H115"/>
  <sheetViews>
    <sheetView showGridLines="0" zoomScale="75" zoomScaleNormal="75" zoomScalePageLayoutView="60" workbookViewId="0">
      <pane xSplit="2" ySplit="13" topLeftCell="C14" activePane="bottomRight" state="frozen"/>
      <selection activeCell="C156" sqref="C156"/>
      <selection pane="topRight" activeCell="C156" sqref="C156"/>
      <selection pane="bottomLeft" activeCell="C156" sqref="C156"/>
      <selection pane="bottomRight" activeCell="C156" sqref="C156"/>
    </sheetView>
  </sheetViews>
  <sheetFormatPr defaultColWidth="9.42578125" defaultRowHeight="12.75" customHeight="1" outlineLevelRow="1" x14ac:dyDescent="0.2"/>
  <cols>
    <col min="1" max="8" width="30.5703125" style="267" customWidth="1"/>
    <col min="9" max="16384" width="9.42578125" style="267"/>
  </cols>
  <sheetData>
    <row r="1" spans="1:8" ht="12.75" customHeight="1" x14ac:dyDescent="0.2">
      <c r="A1" s="267" t="s">
        <v>753</v>
      </c>
    </row>
    <row r="3" spans="1:8" ht="12.75" customHeight="1" outlineLevel="1" x14ac:dyDescent="0.2">
      <c r="A3" s="266" t="str">
        <f>Narrative!A3</f>
        <v>ViewRay</v>
      </c>
    </row>
    <row r="4" spans="1:8" ht="12.75" customHeight="1" outlineLevel="1" x14ac:dyDescent="0.2">
      <c r="A4" s="268" t="s">
        <v>394</v>
      </c>
    </row>
    <row r="5" spans="1:8" ht="12.75" customHeight="1" outlineLevel="1" x14ac:dyDescent="0.2">
      <c r="A5" s="266" t="str">
        <f>Narrative!A5</f>
        <v>Financial Close and Reporting (FCR)</v>
      </c>
    </row>
    <row r="6" spans="1:8" ht="12.75" customHeight="1" outlineLevel="1" x14ac:dyDescent="0.2">
      <c r="A6" s="266" t="str">
        <f>Narrative!A6</f>
        <v>FY 2019</v>
      </c>
    </row>
    <row r="7" spans="1:8" ht="12.75" customHeight="1" outlineLevel="1" x14ac:dyDescent="0.2">
      <c r="A7" s="269"/>
      <c r="B7" s="269"/>
      <c r="C7" s="270"/>
      <c r="D7" s="270"/>
      <c r="E7" s="270"/>
      <c r="F7" s="270"/>
      <c r="G7" s="270"/>
      <c r="H7" s="271"/>
    </row>
    <row r="8" spans="1:8" ht="12.75" customHeight="1" x14ac:dyDescent="0.2">
      <c r="A8" s="473" t="s">
        <v>395</v>
      </c>
      <c r="B8" s="474"/>
      <c r="C8" s="470" t="str">
        <f>RCM!A11</f>
        <v>FCR</v>
      </c>
      <c r="D8" s="471"/>
      <c r="E8" s="471"/>
      <c r="F8" s="471"/>
      <c r="G8" s="471"/>
      <c r="H8" s="472"/>
    </row>
    <row r="9" spans="1:8" ht="12.75" customHeight="1" x14ac:dyDescent="0.2">
      <c r="A9" s="466" t="s">
        <v>396</v>
      </c>
      <c r="B9" s="475"/>
      <c r="C9" s="470" t="str">
        <f>VLOOKUP($C$10,RCM!J:X,4,0)</f>
        <v>Corporate Controller</v>
      </c>
      <c r="D9" s="471"/>
      <c r="E9" s="471"/>
      <c r="F9" s="471"/>
      <c r="G9" s="471"/>
      <c r="H9" s="472"/>
    </row>
    <row r="10" spans="1:8" ht="12.75" customHeight="1" x14ac:dyDescent="0.2">
      <c r="A10" s="459" t="s">
        <v>397</v>
      </c>
      <c r="B10" s="476"/>
      <c r="C10" s="470" t="str">
        <f>RCM!J16</f>
        <v>FCR 3.12</v>
      </c>
      <c r="D10" s="471"/>
      <c r="E10" s="471"/>
      <c r="F10" s="471"/>
      <c r="G10" s="471"/>
      <c r="H10" s="472"/>
    </row>
    <row r="11" spans="1:8" ht="12.75" customHeight="1" x14ac:dyDescent="0.2">
      <c r="A11" s="459" t="s">
        <v>398</v>
      </c>
      <c r="B11" s="459"/>
      <c r="C11" s="460" t="str">
        <f>VLOOKUP($C$10,RCM!J:X,2,0)</f>
        <v>In the month after the quarter end and prior to filing the 10Q/10K, the Corporate Controller reviews the Subsequent Invoice Log to determine the materiality of the invoices on the listing and whether any should be recorded in the reporting period. The review and decision is documented by sign-off or emails.</v>
      </c>
      <c r="D11" s="461"/>
      <c r="E11" s="461"/>
      <c r="F11" s="461"/>
      <c r="G11" s="461"/>
      <c r="H11" s="462"/>
    </row>
    <row r="12" spans="1:8" ht="12.75" customHeight="1" x14ac:dyDescent="0.2">
      <c r="A12" s="459"/>
      <c r="B12" s="459"/>
      <c r="C12" s="467"/>
      <c r="D12" s="468"/>
      <c r="E12" s="468"/>
      <c r="F12" s="468"/>
      <c r="G12" s="468"/>
      <c r="H12" s="469"/>
    </row>
    <row r="13" spans="1:8" ht="12.75" customHeight="1" x14ac:dyDescent="0.2">
      <c r="A13" s="459"/>
      <c r="B13" s="459"/>
      <c r="C13" s="463" t="e">
        <v>#N/A</v>
      </c>
      <c r="D13" s="464"/>
      <c r="E13" s="464"/>
      <c r="F13" s="464"/>
      <c r="G13" s="464"/>
      <c r="H13" s="465"/>
    </row>
    <row r="14" spans="1:8" ht="12.75" customHeight="1" x14ac:dyDescent="0.2">
      <c r="A14" s="272"/>
      <c r="B14" s="273"/>
      <c r="C14" s="274"/>
      <c r="D14" s="274"/>
      <c r="E14" s="274"/>
      <c r="F14" s="274"/>
      <c r="G14" s="274"/>
      <c r="H14" s="271"/>
    </row>
    <row r="15" spans="1:8" ht="12.75" customHeight="1" x14ac:dyDescent="0.2">
      <c r="A15" s="466" t="s">
        <v>399</v>
      </c>
      <c r="B15" s="466"/>
      <c r="C15" s="460" t="str">
        <f>VLOOKUP($C$10,RCM!J:X,12,)</f>
        <v>1.Obtain the subsequent invoice log for the period selected and relevant JE's.
2. Verify the review was performed by the Corporate Controller and that a decision was made for each invoice that impacts the reporting period.
3. Ascertain that the invoices listed on the log were not included on the Accrual FCR 3.08
4. Agree the accrual JE(s) to the subsequent invoice log to ensure completeness of the accruals.</v>
      </c>
      <c r="D15" s="461"/>
      <c r="E15" s="461"/>
      <c r="F15" s="461"/>
      <c r="G15" s="461"/>
      <c r="H15" s="462"/>
    </row>
    <row r="16" spans="1:8" ht="12.75" customHeight="1" x14ac:dyDescent="0.2">
      <c r="A16" s="466"/>
      <c r="B16" s="466"/>
      <c r="C16" s="467"/>
      <c r="D16" s="468"/>
      <c r="E16" s="468"/>
      <c r="F16" s="468"/>
      <c r="G16" s="468"/>
      <c r="H16" s="469"/>
    </row>
    <row r="17" spans="1:8" ht="12.75" customHeight="1" x14ac:dyDescent="0.2">
      <c r="A17" s="466"/>
      <c r="B17" s="466"/>
      <c r="C17" s="467"/>
      <c r="D17" s="468"/>
      <c r="E17" s="468"/>
      <c r="F17" s="468"/>
      <c r="G17" s="468"/>
      <c r="H17" s="469"/>
    </row>
    <row r="18" spans="1:8" ht="12.75" customHeight="1" x14ac:dyDescent="0.2">
      <c r="A18" s="466"/>
      <c r="B18" s="466"/>
      <c r="C18" s="467"/>
      <c r="D18" s="468"/>
      <c r="E18" s="468"/>
      <c r="F18" s="468"/>
      <c r="G18" s="468"/>
      <c r="H18" s="469"/>
    </row>
    <row r="19" spans="1:8" ht="12.75" customHeight="1" x14ac:dyDescent="0.2">
      <c r="A19" s="466"/>
      <c r="B19" s="466"/>
      <c r="C19" s="463" t="e">
        <v>#N/A</v>
      </c>
      <c r="D19" s="464"/>
      <c r="E19" s="464"/>
      <c r="F19" s="464"/>
      <c r="G19" s="464"/>
      <c r="H19" s="465"/>
    </row>
    <row r="20" spans="1:8" ht="12.75" customHeight="1" x14ac:dyDescent="0.2">
      <c r="A20" s="466" t="s">
        <v>400</v>
      </c>
      <c r="B20" s="466"/>
      <c r="C20" s="470" t="str">
        <f>VLOOKUP($C$10,RCM!J:X,8,0)</f>
        <v>Inspection</v>
      </c>
      <c r="D20" s="471"/>
      <c r="E20" s="471"/>
      <c r="F20" s="471"/>
      <c r="G20" s="471"/>
      <c r="H20" s="472"/>
    </row>
    <row r="21" spans="1:8" ht="12.75" customHeight="1" x14ac:dyDescent="0.2">
      <c r="A21" s="466" t="s">
        <v>401</v>
      </c>
      <c r="B21" s="475"/>
      <c r="C21" s="470" t="str">
        <f>VLOOKUP($C$10,RCM!J:X,5,0)</f>
        <v>Monthly</v>
      </c>
      <c r="D21" s="471"/>
      <c r="E21" s="471"/>
      <c r="F21" s="471"/>
      <c r="G21" s="471"/>
      <c r="H21" s="472"/>
    </row>
    <row r="22" spans="1:8" ht="12.75" customHeight="1" x14ac:dyDescent="0.2">
      <c r="A22" s="466" t="s">
        <v>402</v>
      </c>
      <c r="B22" s="475"/>
      <c r="C22" s="709">
        <f>VLOOKUP($C$10,RCM!J:X,3,0)</f>
        <v>42186</v>
      </c>
      <c r="D22" s="709"/>
      <c r="E22" s="709"/>
      <c r="F22" s="709"/>
      <c r="G22" s="709"/>
      <c r="H22" s="709"/>
    </row>
    <row r="23" spans="1:8" s="275" customFormat="1" ht="12.75" customHeight="1" x14ac:dyDescent="0.2">
      <c r="A23" s="466" t="s">
        <v>403</v>
      </c>
      <c r="B23" s="475"/>
      <c r="C23" s="480" t="str">
        <f>VLOOKUP($C$10,RCM!J:X,10,0)</f>
        <v xml:space="preserve">Medium </v>
      </c>
      <c r="D23" s="481"/>
      <c r="E23" s="481"/>
      <c r="F23" s="481"/>
      <c r="G23" s="481"/>
      <c r="H23" s="482"/>
    </row>
    <row r="24" spans="1:8" ht="12.75" customHeight="1" x14ac:dyDescent="0.2">
      <c r="A24" s="466" t="s">
        <v>404</v>
      </c>
      <c r="B24" s="475"/>
      <c r="C24" s="477" t="str">
        <f>RCM!$AB$3</f>
        <v>1/1/19 - 6/30/19</v>
      </c>
      <c r="D24" s="478"/>
      <c r="E24" s="478"/>
      <c r="F24" s="478"/>
      <c r="G24" s="478"/>
      <c r="H24" s="479"/>
    </row>
    <row r="25" spans="1:8" ht="12.75" customHeight="1" x14ac:dyDescent="0.2">
      <c r="A25" s="466" t="s">
        <v>405</v>
      </c>
      <c r="B25" s="475"/>
      <c r="C25" s="706">
        <f>VLOOKUP(C$10,RCM!$J$9:$AG$29,20,0)</f>
        <v>12</v>
      </c>
      <c r="D25" s="707"/>
      <c r="E25" s="707"/>
      <c r="F25" s="707"/>
      <c r="G25" s="707"/>
      <c r="H25" s="708"/>
    </row>
    <row r="26" spans="1:8" ht="12.75" customHeight="1" x14ac:dyDescent="0.2">
      <c r="A26" s="466" t="s">
        <v>406</v>
      </c>
      <c r="B26" s="475"/>
      <c r="C26" s="483" t="str">
        <f>RCM!$AB$5&amp;" "&amp;VLOOKUP(C$10,RCM!$J$9:$AG$29,21,0)&amp;" "&amp;RCM!$AB$6</f>
        <v>Annual sample size: 2 (See sample size derivation below)</v>
      </c>
      <c r="D26" s="484"/>
      <c r="E26" s="484"/>
      <c r="F26" s="484"/>
      <c r="G26" s="484"/>
      <c r="H26" s="485"/>
    </row>
    <row r="27" spans="1:8" ht="12.75" customHeight="1" x14ac:dyDescent="0.2">
      <c r="A27" s="489" t="s">
        <v>407</v>
      </c>
      <c r="B27" s="490"/>
      <c r="C27" s="460" t="s">
        <v>533</v>
      </c>
      <c r="D27" s="461"/>
      <c r="E27" s="461"/>
      <c r="F27" s="461"/>
      <c r="G27" s="461"/>
      <c r="H27" s="462"/>
    </row>
    <row r="28" spans="1:8" s="275" customFormat="1" ht="12.75" customHeight="1" x14ac:dyDescent="0.2">
      <c r="A28" s="493"/>
      <c r="B28" s="494"/>
      <c r="C28" s="463"/>
      <c r="D28" s="464"/>
      <c r="E28" s="464"/>
      <c r="F28" s="464"/>
      <c r="G28" s="464"/>
      <c r="H28" s="465"/>
    </row>
    <row r="29" spans="1:8" ht="12.75" customHeight="1" x14ac:dyDescent="0.2">
      <c r="A29" s="277"/>
      <c r="B29" s="277"/>
      <c r="C29" s="278"/>
      <c r="D29" s="278"/>
      <c r="E29" s="278"/>
      <c r="F29" s="278"/>
      <c r="G29" s="278"/>
      <c r="H29" s="278"/>
    </row>
    <row r="30" spans="1:8" ht="12.75" customHeight="1" x14ac:dyDescent="0.2">
      <c r="A30" s="279"/>
      <c r="B30" s="279"/>
      <c r="C30" s="506" t="s">
        <v>409</v>
      </c>
      <c r="D30" s="507"/>
      <c r="E30" s="506" t="s">
        <v>410</v>
      </c>
      <c r="F30" s="507"/>
      <c r="G30" s="506" t="s">
        <v>411</v>
      </c>
      <c r="H30" s="507"/>
    </row>
    <row r="31" spans="1:8" ht="12.75" customHeight="1" x14ac:dyDescent="0.2">
      <c r="A31" s="508" t="s">
        <v>412</v>
      </c>
      <c r="B31" s="509"/>
      <c r="C31" s="510">
        <f>VLOOKUP($C$10,RCM!$J$9:$AG$29,22,0)</f>
        <v>1</v>
      </c>
      <c r="D31" s="712"/>
      <c r="E31" s="510">
        <f>VLOOKUP($C$10,RCM!$J$9:$AG$29,23,0)</f>
        <v>0</v>
      </c>
      <c r="F31" s="511"/>
      <c r="G31" s="510">
        <f>VLOOKUP($C$10,RCM!$J$9:$AG$29,24,0)</f>
        <v>1</v>
      </c>
      <c r="H31" s="511"/>
    </row>
    <row r="32" spans="1:8" ht="12.75" customHeight="1" outlineLevel="1" x14ac:dyDescent="0.2">
      <c r="A32" s="523" t="s">
        <v>413</v>
      </c>
      <c r="B32" s="524"/>
      <c r="C32" s="721" t="s">
        <v>585</v>
      </c>
      <c r="D32" s="716"/>
      <c r="E32" s="721"/>
      <c r="F32" s="716"/>
      <c r="G32" s="722"/>
      <c r="H32" s="723"/>
    </row>
    <row r="33" spans="1:8" ht="12.75" customHeight="1" outlineLevel="1" x14ac:dyDescent="0.2">
      <c r="A33" s="525"/>
      <c r="B33" s="526"/>
      <c r="C33" s="717"/>
      <c r="D33" s="718"/>
      <c r="E33" s="717"/>
      <c r="F33" s="718"/>
      <c r="G33" s="724"/>
      <c r="H33" s="725"/>
    </row>
    <row r="34" spans="1:8" ht="12.75" customHeight="1" outlineLevel="1" x14ac:dyDescent="0.2">
      <c r="A34" s="525"/>
      <c r="B34" s="526"/>
      <c r="C34" s="717"/>
      <c r="D34" s="718"/>
      <c r="E34" s="717"/>
      <c r="F34" s="718"/>
      <c r="G34" s="724"/>
      <c r="H34" s="725"/>
    </row>
    <row r="35" spans="1:8" ht="12.75" customHeight="1" outlineLevel="1" x14ac:dyDescent="0.2">
      <c r="A35" s="525"/>
      <c r="B35" s="526"/>
      <c r="C35" s="717"/>
      <c r="D35" s="718"/>
      <c r="E35" s="717"/>
      <c r="F35" s="718"/>
      <c r="G35" s="724"/>
      <c r="H35" s="725"/>
    </row>
    <row r="36" spans="1:8" ht="12.75" customHeight="1" outlineLevel="1" x14ac:dyDescent="0.2">
      <c r="A36" s="525"/>
      <c r="B36" s="526"/>
      <c r="C36" s="717"/>
      <c r="D36" s="718"/>
      <c r="E36" s="717"/>
      <c r="F36" s="718"/>
      <c r="G36" s="724"/>
      <c r="H36" s="725"/>
    </row>
    <row r="37" spans="1:8" ht="12.75" customHeight="1" outlineLevel="1" x14ac:dyDescent="0.2">
      <c r="A37" s="525"/>
      <c r="B37" s="526"/>
      <c r="C37" s="717"/>
      <c r="D37" s="718"/>
      <c r="E37" s="717"/>
      <c r="F37" s="718"/>
      <c r="G37" s="724"/>
      <c r="H37" s="725"/>
    </row>
    <row r="38" spans="1:8" ht="12.75" customHeight="1" outlineLevel="1" x14ac:dyDescent="0.2">
      <c r="A38" s="525"/>
      <c r="B38" s="526"/>
      <c r="C38" s="717"/>
      <c r="D38" s="718"/>
      <c r="E38" s="717"/>
      <c r="F38" s="718"/>
      <c r="G38" s="724"/>
      <c r="H38" s="725"/>
    </row>
    <row r="39" spans="1:8" ht="12.75" customHeight="1" outlineLevel="1" x14ac:dyDescent="0.2">
      <c r="A39" s="525"/>
      <c r="B39" s="526"/>
      <c r="C39" s="717"/>
      <c r="D39" s="718"/>
      <c r="E39" s="717"/>
      <c r="F39" s="718"/>
      <c r="G39" s="724"/>
      <c r="H39" s="725"/>
    </row>
    <row r="40" spans="1:8" ht="12.75" customHeight="1" outlineLevel="1" x14ac:dyDescent="0.2">
      <c r="A40" s="525"/>
      <c r="B40" s="526"/>
      <c r="C40" s="717"/>
      <c r="D40" s="718"/>
      <c r="E40" s="717"/>
      <c r="F40" s="718"/>
      <c r="G40" s="724"/>
      <c r="H40" s="725"/>
    </row>
    <row r="41" spans="1:8" ht="12.75" customHeight="1" outlineLevel="1" x14ac:dyDescent="0.2">
      <c r="A41" s="527"/>
      <c r="B41" s="528"/>
      <c r="C41" s="719"/>
      <c r="D41" s="720"/>
      <c r="E41" s="719"/>
      <c r="F41" s="720"/>
      <c r="G41" s="726"/>
      <c r="H41" s="727"/>
    </row>
    <row r="42" spans="1:8" ht="12.75" customHeight="1" x14ac:dyDescent="0.2">
      <c r="A42" s="512" t="s">
        <v>415</v>
      </c>
      <c r="B42" s="513"/>
      <c r="C42" s="728" t="s">
        <v>416</v>
      </c>
      <c r="D42" s="729"/>
      <c r="E42" s="540"/>
      <c r="F42" s="541"/>
      <c r="G42" s="728"/>
      <c r="H42" s="729"/>
    </row>
    <row r="43" spans="1:8" ht="12.75" customHeight="1" x14ac:dyDescent="0.2">
      <c r="A43" s="512" t="s">
        <v>417</v>
      </c>
      <c r="B43" s="513"/>
      <c r="C43" s="714">
        <v>43642</v>
      </c>
      <c r="D43" s="715"/>
      <c r="E43" s="514"/>
      <c r="F43" s="581"/>
      <c r="G43" s="714"/>
      <c r="H43" s="715"/>
    </row>
    <row r="44" spans="1:8" ht="12.75" customHeight="1" x14ac:dyDescent="0.2">
      <c r="A44" s="508" t="s">
        <v>418</v>
      </c>
      <c r="B44" s="508"/>
      <c r="C44" s="515" t="str">
        <f>VLOOKUP(C$10,'WT (WT)'!$A$8:$K$24,11,0)</f>
        <v>Effective</v>
      </c>
      <c r="D44" s="516"/>
      <c r="E44" s="515"/>
      <c r="F44" s="516"/>
      <c r="G44" s="519"/>
      <c r="H44" s="520"/>
    </row>
    <row r="45" spans="1:8" ht="12.75" customHeight="1" x14ac:dyDescent="0.2">
      <c r="A45" s="508"/>
      <c r="B45" s="508"/>
      <c r="C45" s="517"/>
      <c r="D45" s="518"/>
      <c r="E45" s="517"/>
      <c r="F45" s="518"/>
      <c r="G45" s="521"/>
      <c r="H45" s="522"/>
    </row>
    <row r="46" spans="1:8" ht="12.75" customHeight="1" x14ac:dyDescent="0.2">
      <c r="A46" s="508" t="s">
        <v>419</v>
      </c>
      <c r="B46" s="508"/>
      <c r="C46" s="519" t="s">
        <v>330</v>
      </c>
      <c r="D46" s="520"/>
      <c r="E46" s="519"/>
      <c r="F46" s="520"/>
      <c r="G46" s="519"/>
      <c r="H46" s="520"/>
    </row>
    <row r="47" spans="1:8" ht="12.75" customHeight="1" x14ac:dyDescent="0.2">
      <c r="A47" s="508"/>
      <c r="B47" s="508"/>
      <c r="C47" s="542"/>
      <c r="D47" s="543"/>
      <c r="E47" s="542"/>
      <c r="F47" s="543"/>
      <c r="G47" s="542"/>
      <c r="H47" s="543"/>
    </row>
    <row r="48" spans="1:8" ht="12.75" customHeight="1" x14ac:dyDescent="0.2">
      <c r="A48" s="508"/>
      <c r="B48" s="508"/>
      <c r="C48" s="521"/>
      <c r="D48" s="522"/>
      <c r="E48" s="521"/>
      <c r="F48" s="522"/>
      <c r="G48" s="521"/>
      <c r="H48" s="522"/>
    </row>
    <row r="49" spans="1:8" ht="12.75" customHeight="1" x14ac:dyDescent="0.2">
      <c r="A49" s="280"/>
      <c r="B49" s="280"/>
      <c r="C49" s="271"/>
      <c r="D49" s="271"/>
      <c r="E49" s="271"/>
      <c r="F49" s="271"/>
      <c r="G49" s="281"/>
      <c r="H49" s="271"/>
    </row>
    <row r="50" spans="1:8" ht="12.75" customHeight="1" x14ac:dyDescent="0.2">
      <c r="A50" s="544" t="s">
        <v>420</v>
      </c>
      <c r="B50" s="544" t="s">
        <v>535</v>
      </c>
      <c r="C50" s="544" t="s">
        <v>586</v>
      </c>
      <c r="D50" s="544" t="s">
        <v>587</v>
      </c>
      <c r="E50" s="544" t="s">
        <v>588</v>
      </c>
      <c r="F50" s="544" t="s">
        <v>423</v>
      </c>
      <c r="G50" s="544" t="s">
        <v>589</v>
      </c>
      <c r="H50" s="544" t="s">
        <v>542</v>
      </c>
    </row>
    <row r="51" spans="1:8" ht="12.75" customHeight="1" x14ac:dyDescent="0.2">
      <c r="A51" s="544"/>
      <c r="B51" s="544"/>
      <c r="C51" s="544"/>
      <c r="D51" s="544"/>
      <c r="E51" s="544"/>
      <c r="F51" s="544"/>
      <c r="G51" s="544"/>
      <c r="H51" s="544"/>
    </row>
    <row r="52" spans="1:8" ht="12.75" customHeight="1" x14ac:dyDescent="0.2">
      <c r="A52" s="544"/>
      <c r="B52" s="544"/>
      <c r="C52" s="544"/>
      <c r="D52" s="544"/>
      <c r="E52" s="544"/>
      <c r="F52" s="544"/>
      <c r="G52" s="544"/>
      <c r="H52" s="544"/>
    </row>
    <row r="53" spans="1:8" ht="12.75" customHeight="1" x14ac:dyDescent="0.2">
      <c r="A53" s="544"/>
      <c r="B53" s="544"/>
      <c r="C53" s="544"/>
      <c r="D53" s="544"/>
      <c r="E53" s="544"/>
      <c r="F53" s="544"/>
      <c r="G53" s="544"/>
      <c r="H53" s="544"/>
    </row>
    <row r="54" spans="1:8" ht="12.75" customHeight="1" x14ac:dyDescent="0.2">
      <c r="A54" s="545" t="s">
        <v>428</v>
      </c>
      <c r="B54" s="546"/>
      <c r="C54" s="547"/>
      <c r="D54" s="547"/>
      <c r="E54" s="547"/>
      <c r="F54" s="547"/>
      <c r="G54" s="547"/>
      <c r="H54" s="548"/>
    </row>
    <row r="55" spans="1:8" s="287" customFormat="1" ht="12.75" customHeight="1" outlineLevel="1" x14ac:dyDescent="0.2">
      <c r="A55" s="646">
        <v>1</v>
      </c>
      <c r="B55" s="733">
        <v>43555</v>
      </c>
      <c r="C55" s="734">
        <v>128443.43</v>
      </c>
      <c r="D55" s="646" t="s">
        <v>590</v>
      </c>
      <c r="E55" s="646" t="s">
        <v>590</v>
      </c>
      <c r="F55" s="656" t="s">
        <v>431</v>
      </c>
      <c r="G55" s="648">
        <v>43587</v>
      </c>
      <c r="H55" s="658" t="s">
        <v>432</v>
      </c>
    </row>
    <row r="56" spans="1:8" s="287" customFormat="1" ht="12.75" customHeight="1" outlineLevel="1" x14ac:dyDescent="0.2">
      <c r="A56" s="647"/>
      <c r="B56" s="657"/>
      <c r="C56" s="735"/>
      <c r="D56" s="647"/>
      <c r="E56" s="647"/>
      <c r="F56" s="647"/>
      <c r="G56" s="647"/>
      <c r="H56" s="659"/>
    </row>
    <row r="57" spans="1:8" s="287" customFormat="1" ht="12.75" customHeight="1" outlineLevel="1" x14ac:dyDescent="0.2">
      <c r="A57" s="670"/>
      <c r="B57" s="687"/>
      <c r="C57" s="736"/>
      <c r="D57" s="670"/>
      <c r="E57" s="670"/>
      <c r="F57" s="670"/>
      <c r="G57" s="670"/>
      <c r="H57" s="737"/>
    </row>
    <row r="58" spans="1:8" ht="12.75" customHeight="1" x14ac:dyDescent="0.2">
      <c r="A58" s="545" t="s">
        <v>410</v>
      </c>
      <c r="B58" s="546"/>
      <c r="C58" s="547"/>
      <c r="D58" s="547"/>
      <c r="E58" s="547"/>
      <c r="F58" s="547"/>
      <c r="G58" s="547"/>
      <c r="H58" s="548"/>
    </row>
    <row r="59" spans="1:8" s="286" customFormat="1" ht="12.75" customHeight="1" outlineLevel="1" x14ac:dyDescent="0.25">
      <c r="A59" s="549"/>
      <c r="B59" s="741"/>
      <c r="C59" s="734"/>
      <c r="D59" s="552"/>
      <c r="E59" s="552"/>
      <c r="F59" s="656"/>
      <c r="G59" s="656"/>
      <c r="H59" s="554"/>
    </row>
    <row r="60" spans="1:8" s="286" customFormat="1" ht="12.75" customHeight="1" outlineLevel="1" x14ac:dyDescent="0.25">
      <c r="A60" s="549"/>
      <c r="B60" s="742"/>
      <c r="C60" s="735"/>
      <c r="D60" s="552"/>
      <c r="E60" s="552"/>
      <c r="F60" s="647"/>
      <c r="G60" s="647"/>
      <c r="H60" s="552"/>
    </row>
    <row r="61" spans="1:8" s="286" customFormat="1" ht="12.75" customHeight="1" outlineLevel="1" x14ac:dyDescent="0.25">
      <c r="A61" s="549"/>
      <c r="B61" s="743"/>
      <c r="C61" s="736"/>
      <c r="D61" s="552"/>
      <c r="E61" s="552"/>
      <c r="F61" s="670"/>
      <c r="G61" s="670"/>
      <c r="H61" s="552"/>
    </row>
    <row r="62" spans="1:8" ht="12.75" customHeight="1" x14ac:dyDescent="0.2">
      <c r="A62" s="744" t="s">
        <v>437</v>
      </c>
      <c r="B62" s="744"/>
      <c r="C62" s="744"/>
      <c r="D62" s="744"/>
      <c r="E62" s="744"/>
      <c r="F62" s="744"/>
      <c r="G62" s="744"/>
      <c r="H62" s="744"/>
    </row>
    <row r="63" spans="1:8" ht="12.75" customHeight="1" outlineLevel="1" x14ac:dyDescent="0.2">
      <c r="A63" s="549"/>
      <c r="B63" s="692"/>
      <c r="C63" s="745"/>
      <c r="D63" s="552"/>
      <c r="E63" s="552"/>
      <c r="F63" s="656"/>
      <c r="G63" s="656"/>
      <c r="H63" s="751"/>
    </row>
    <row r="64" spans="1:8" ht="12.75" customHeight="1" outlineLevel="1" x14ac:dyDescent="0.2">
      <c r="A64" s="549"/>
      <c r="B64" s="692"/>
      <c r="C64" s="746"/>
      <c r="D64" s="552"/>
      <c r="E64" s="552"/>
      <c r="F64" s="647"/>
      <c r="G64" s="647"/>
      <c r="H64" s="751"/>
    </row>
    <row r="65" spans="1:8" ht="12.75" customHeight="1" outlineLevel="1" x14ac:dyDescent="0.2">
      <c r="A65" s="549"/>
      <c r="B65" s="692"/>
      <c r="C65" s="747"/>
      <c r="D65" s="552"/>
      <c r="E65" s="552"/>
      <c r="F65" s="670"/>
      <c r="G65" s="670"/>
      <c r="H65" s="751"/>
    </row>
    <row r="66" spans="1:8" ht="12.75" customHeight="1" x14ac:dyDescent="0.2">
      <c r="A66" s="270"/>
      <c r="B66" s="270"/>
      <c r="C66" s="293"/>
      <c r="D66" s="270"/>
      <c r="E66" s="270"/>
      <c r="F66" s="270"/>
      <c r="G66" s="270"/>
    </row>
    <row r="67" spans="1:8" ht="12.75" customHeight="1" x14ac:dyDescent="0.2">
      <c r="A67" s="282"/>
      <c r="B67" s="282"/>
      <c r="C67" s="506" t="s">
        <v>409</v>
      </c>
      <c r="D67" s="507"/>
      <c r="E67" s="506" t="s">
        <v>436</v>
      </c>
      <c r="F67" s="507"/>
      <c r="G67" s="752" t="s">
        <v>437</v>
      </c>
      <c r="H67" s="753"/>
    </row>
    <row r="68" spans="1:8" ht="12.75" customHeight="1" x14ac:dyDescent="0.2">
      <c r="A68" s="512" t="s">
        <v>438</v>
      </c>
      <c r="B68" s="556"/>
      <c r="C68" s="557" t="s">
        <v>439</v>
      </c>
      <c r="D68" s="558"/>
      <c r="E68" s="748"/>
      <c r="F68" s="749"/>
      <c r="G68" s="748"/>
      <c r="H68" s="750"/>
    </row>
    <row r="69" spans="1:8" ht="12.75" customHeight="1" x14ac:dyDescent="0.2">
      <c r="A69" s="512" t="s">
        <v>440</v>
      </c>
      <c r="B69" s="556"/>
      <c r="C69" s="514">
        <v>43643</v>
      </c>
      <c r="D69" s="581"/>
      <c r="E69" s="748"/>
      <c r="F69" s="749"/>
      <c r="G69" s="748"/>
      <c r="H69" s="750"/>
    </row>
    <row r="70" spans="1:8" ht="12.75" customHeight="1" x14ac:dyDescent="0.2">
      <c r="A70" s="512" t="s">
        <v>441</v>
      </c>
      <c r="B70" s="556"/>
      <c r="C70" s="514" t="s">
        <v>330</v>
      </c>
      <c r="D70" s="581"/>
      <c r="E70" s="557" t="s">
        <v>392</v>
      </c>
      <c r="F70" s="558"/>
      <c r="G70" s="557" t="s">
        <v>392</v>
      </c>
      <c r="H70" s="558"/>
    </row>
    <row r="71" spans="1:8" ht="12.75" customHeight="1" x14ac:dyDescent="0.2">
      <c r="A71" s="270"/>
      <c r="B71" s="270"/>
      <c r="C71" s="270"/>
      <c r="D71" s="270"/>
      <c r="E71" s="270"/>
      <c r="F71" s="270"/>
      <c r="G71" s="270"/>
      <c r="H71" s="270"/>
    </row>
    <row r="72" spans="1:8" ht="12.75" customHeight="1" x14ac:dyDescent="0.2">
      <c r="A72" s="561" t="s">
        <v>442</v>
      </c>
      <c r="B72" s="562"/>
      <c r="C72" s="270"/>
      <c r="D72" s="270"/>
      <c r="E72" s="270"/>
      <c r="F72" s="270"/>
      <c r="G72" s="270"/>
    </row>
    <row r="73" spans="1:8" ht="12.75" customHeight="1" x14ac:dyDescent="0.2">
      <c r="A73" s="764" t="s">
        <v>279</v>
      </c>
      <c r="B73" s="764"/>
      <c r="C73" s="755" t="s">
        <v>443</v>
      </c>
      <c r="D73" s="755"/>
      <c r="E73" s="755"/>
      <c r="F73" s="755"/>
      <c r="G73" s="755"/>
      <c r="H73" s="755"/>
    </row>
    <row r="74" spans="1:8" ht="12.75" customHeight="1" x14ac:dyDescent="0.2">
      <c r="A74" s="764"/>
      <c r="B74" s="764"/>
      <c r="C74" s="755"/>
      <c r="D74" s="755"/>
      <c r="E74" s="755"/>
      <c r="F74" s="755"/>
      <c r="G74" s="755"/>
      <c r="H74" s="755"/>
    </row>
    <row r="75" spans="1:8" ht="12.75" customHeight="1" x14ac:dyDescent="0.2">
      <c r="A75" s="754" t="s">
        <v>432</v>
      </c>
      <c r="B75" s="754"/>
      <c r="C75" s="755" t="s">
        <v>444</v>
      </c>
      <c r="D75" s="755"/>
      <c r="E75" s="755"/>
      <c r="F75" s="755"/>
      <c r="G75" s="755"/>
      <c r="H75" s="755"/>
    </row>
    <row r="76" spans="1:8" ht="12.75" customHeight="1" x14ac:dyDescent="0.2">
      <c r="A76" s="754"/>
      <c r="B76" s="754"/>
      <c r="C76" s="755"/>
      <c r="D76" s="755"/>
      <c r="E76" s="755"/>
      <c r="F76" s="755"/>
      <c r="G76" s="755"/>
      <c r="H76" s="755"/>
    </row>
    <row r="78" spans="1:8" ht="12.75" customHeight="1" x14ac:dyDescent="0.2">
      <c r="A78" s="843" t="s">
        <v>370</v>
      </c>
      <c r="B78" s="843"/>
      <c r="C78" s="843"/>
      <c r="D78" s="843"/>
      <c r="E78" s="843"/>
      <c r="F78" s="843"/>
      <c r="G78" s="843"/>
      <c r="H78" s="843"/>
    </row>
    <row r="79" spans="1:8" ht="12.75" customHeight="1" x14ac:dyDescent="0.2">
      <c r="A79" s="283" t="s">
        <v>449</v>
      </c>
      <c r="B79" s="283" t="s">
        <v>450</v>
      </c>
      <c r="C79" s="283" t="s">
        <v>451</v>
      </c>
      <c r="D79" s="843" t="s">
        <v>452</v>
      </c>
      <c r="E79" s="843"/>
      <c r="F79" s="843"/>
      <c r="G79" s="843"/>
      <c r="H79" s="843"/>
    </row>
    <row r="80" spans="1:8" ht="12.75" customHeight="1" x14ac:dyDescent="0.2">
      <c r="A80" s="598" t="s">
        <v>453</v>
      </c>
      <c r="B80" s="598" t="s">
        <v>454</v>
      </c>
      <c r="C80" s="598" t="s">
        <v>455</v>
      </c>
      <c r="D80" s="602" t="s">
        <v>456</v>
      </c>
      <c r="E80" s="606" t="s">
        <v>457</v>
      </c>
      <c r="F80" s="607"/>
      <c r="G80" s="801" t="s">
        <v>455</v>
      </c>
      <c r="H80" s="801"/>
    </row>
    <row r="81" spans="1:8" ht="12.75" customHeight="1" x14ac:dyDescent="0.2">
      <c r="A81" s="599"/>
      <c r="B81" s="599"/>
      <c r="C81" s="599"/>
      <c r="D81" s="602"/>
      <c r="E81" s="606"/>
      <c r="F81" s="607"/>
      <c r="G81" s="801"/>
      <c r="H81" s="801"/>
    </row>
    <row r="82" spans="1:8" ht="12.75" customHeight="1" x14ac:dyDescent="0.2">
      <c r="A82" s="599"/>
      <c r="B82" s="599"/>
      <c r="C82" s="599"/>
      <c r="D82" s="602"/>
      <c r="E82" s="606"/>
      <c r="F82" s="607"/>
      <c r="G82" s="801"/>
      <c r="H82" s="801"/>
    </row>
    <row r="83" spans="1:8" ht="12.75" customHeight="1" x14ac:dyDescent="0.2">
      <c r="A83" s="599"/>
      <c r="B83" s="599"/>
      <c r="C83" s="599"/>
      <c r="D83" s="602"/>
      <c r="E83" s="606"/>
      <c r="F83" s="607"/>
      <c r="G83" s="801"/>
      <c r="H83" s="801"/>
    </row>
    <row r="84" spans="1:8" ht="12.75" customHeight="1" x14ac:dyDescent="0.2">
      <c r="A84" s="599"/>
      <c r="B84" s="599"/>
      <c r="C84" s="599"/>
      <c r="D84" s="603"/>
      <c r="E84" s="608"/>
      <c r="F84" s="609"/>
      <c r="G84" s="801"/>
      <c r="H84" s="801"/>
    </row>
    <row r="85" spans="1:8" ht="12.75" customHeight="1" x14ac:dyDescent="0.2">
      <c r="A85" s="599"/>
      <c r="B85" s="599"/>
      <c r="C85" s="599"/>
      <c r="D85" s="601" t="s">
        <v>458</v>
      </c>
      <c r="E85" s="604" t="s">
        <v>459</v>
      </c>
      <c r="F85" s="605"/>
      <c r="G85" s="801" t="s">
        <v>455</v>
      </c>
      <c r="H85" s="801"/>
    </row>
    <row r="86" spans="1:8" ht="12.75" customHeight="1" x14ac:dyDescent="0.2">
      <c r="A86" s="599"/>
      <c r="B86" s="599"/>
      <c r="C86" s="599"/>
      <c r="D86" s="602"/>
      <c r="E86" s="606"/>
      <c r="F86" s="607"/>
      <c r="G86" s="801"/>
      <c r="H86" s="801"/>
    </row>
    <row r="87" spans="1:8" ht="12.75" customHeight="1" x14ac:dyDescent="0.2">
      <c r="A87" s="599"/>
      <c r="B87" s="599"/>
      <c r="C87" s="599"/>
      <c r="D87" s="602"/>
      <c r="E87" s="606"/>
      <c r="F87" s="607"/>
      <c r="G87" s="801"/>
      <c r="H87" s="801"/>
    </row>
    <row r="88" spans="1:8" ht="12.75" customHeight="1" x14ac:dyDescent="0.2">
      <c r="A88" s="599"/>
      <c r="B88" s="599"/>
      <c r="C88" s="599"/>
      <c r="D88" s="602"/>
      <c r="E88" s="606"/>
      <c r="F88" s="607"/>
      <c r="G88" s="801"/>
      <c r="H88" s="801"/>
    </row>
    <row r="89" spans="1:8" ht="12.75" customHeight="1" x14ac:dyDescent="0.2">
      <c r="A89" s="599"/>
      <c r="B89" s="599"/>
      <c r="C89" s="599"/>
      <c r="D89" s="603"/>
      <c r="E89" s="608"/>
      <c r="F89" s="609"/>
      <c r="G89" s="801"/>
      <c r="H89" s="801"/>
    </row>
    <row r="90" spans="1:8" ht="12.75" customHeight="1" x14ac:dyDescent="0.2">
      <c r="A90" s="599"/>
      <c r="B90" s="599"/>
      <c r="C90" s="599"/>
      <c r="D90" s="601" t="s">
        <v>460</v>
      </c>
      <c r="E90" s="604" t="s">
        <v>461</v>
      </c>
      <c r="F90" s="605"/>
      <c r="G90" s="801" t="s">
        <v>455</v>
      </c>
      <c r="H90" s="801"/>
    </row>
    <row r="91" spans="1:8" ht="12.75" customHeight="1" x14ac:dyDescent="0.2">
      <c r="A91" s="599"/>
      <c r="B91" s="599"/>
      <c r="C91" s="599"/>
      <c r="D91" s="602"/>
      <c r="E91" s="606"/>
      <c r="F91" s="607"/>
      <c r="G91" s="801"/>
      <c r="H91" s="801"/>
    </row>
    <row r="92" spans="1:8" ht="12.75" customHeight="1" x14ac:dyDescent="0.2">
      <c r="A92" s="599"/>
      <c r="B92" s="599"/>
      <c r="C92" s="599"/>
      <c r="D92" s="602"/>
      <c r="E92" s="606"/>
      <c r="F92" s="607"/>
      <c r="G92" s="801"/>
      <c r="H92" s="801"/>
    </row>
    <row r="93" spans="1:8" ht="12.75" customHeight="1" x14ac:dyDescent="0.2">
      <c r="A93" s="599"/>
      <c r="B93" s="599"/>
      <c r="C93" s="599"/>
      <c r="D93" s="602"/>
      <c r="E93" s="606"/>
      <c r="F93" s="607"/>
      <c r="G93" s="801"/>
      <c r="H93" s="801"/>
    </row>
    <row r="94" spans="1:8" ht="12.75" customHeight="1" x14ac:dyDescent="0.2">
      <c r="A94" s="599"/>
      <c r="B94" s="599"/>
      <c r="C94" s="599"/>
      <c r="D94" s="602"/>
      <c r="E94" s="608"/>
      <c r="F94" s="609"/>
      <c r="G94" s="801"/>
      <c r="H94" s="801"/>
    </row>
    <row r="95" spans="1:8" ht="12.75" customHeight="1" x14ac:dyDescent="0.2">
      <c r="A95" s="599"/>
      <c r="B95" s="599"/>
      <c r="C95" s="599"/>
      <c r="D95" s="602"/>
      <c r="E95" s="604" t="s">
        <v>462</v>
      </c>
      <c r="F95" s="605"/>
      <c r="G95" s="844" t="s">
        <v>336</v>
      </c>
      <c r="H95" s="844"/>
    </row>
    <row r="96" spans="1:8" ht="12.75" customHeight="1" x14ac:dyDescent="0.2">
      <c r="A96" s="599"/>
      <c r="B96" s="599"/>
      <c r="C96" s="599"/>
      <c r="D96" s="602"/>
      <c r="E96" s="608"/>
      <c r="F96" s="609"/>
      <c r="G96" s="844"/>
      <c r="H96" s="844"/>
    </row>
    <row r="97" spans="1:8" ht="12.75" customHeight="1" x14ac:dyDescent="0.2">
      <c r="A97" s="599"/>
      <c r="B97" s="599"/>
      <c r="C97" s="599"/>
      <c r="D97" s="602"/>
      <c r="E97" s="604" t="s">
        <v>463</v>
      </c>
      <c r="F97" s="605"/>
      <c r="G97" s="801" t="s">
        <v>336</v>
      </c>
      <c r="H97" s="801"/>
    </row>
    <row r="98" spans="1:8" ht="12.75" customHeight="1" x14ac:dyDescent="0.2">
      <c r="A98" s="599"/>
      <c r="B98" s="599"/>
      <c r="C98" s="599"/>
      <c r="D98" s="602"/>
      <c r="E98" s="606"/>
      <c r="F98" s="607"/>
      <c r="G98" s="801"/>
      <c r="H98" s="801"/>
    </row>
    <row r="99" spans="1:8" ht="12.75" customHeight="1" x14ac:dyDescent="0.2">
      <c r="A99" s="599"/>
      <c r="B99" s="599"/>
      <c r="C99" s="599"/>
      <c r="D99" s="602"/>
      <c r="E99" s="606"/>
      <c r="F99" s="607"/>
      <c r="G99" s="801"/>
      <c r="H99" s="801"/>
    </row>
    <row r="100" spans="1:8" ht="12.75" customHeight="1" x14ac:dyDescent="0.2">
      <c r="A100" s="599"/>
      <c r="B100" s="599"/>
      <c r="C100" s="599"/>
      <c r="D100" s="602"/>
      <c r="E100" s="606"/>
      <c r="F100" s="607"/>
      <c r="G100" s="801"/>
      <c r="H100" s="801"/>
    </row>
    <row r="101" spans="1:8" ht="12.75" customHeight="1" x14ac:dyDescent="0.2">
      <c r="A101" s="599"/>
      <c r="B101" s="599"/>
      <c r="C101" s="599"/>
      <c r="D101" s="602"/>
      <c r="E101" s="608"/>
      <c r="F101" s="609"/>
      <c r="G101" s="801"/>
      <c r="H101" s="801"/>
    </row>
    <row r="102" spans="1:8" ht="12.75" customHeight="1" x14ac:dyDescent="0.2">
      <c r="A102" s="599"/>
      <c r="B102" s="599"/>
      <c r="C102" s="599"/>
      <c r="D102" s="602"/>
      <c r="E102" s="604" t="s">
        <v>464</v>
      </c>
      <c r="F102" s="605"/>
      <c r="G102" s="844" t="s">
        <v>336</v>
      </c>
      <c r="H102" s="844"/>
    </row>
    <row r="103" spans="1:8" ht="12.75" customHeight="1" x14ac:dyDescent="0.2">
      <c r="A103" s="599"/>
      <c r="B103" s="599"/>
      <c r="C103" s="599"/>
      <c r="D103" s="603"/>
      <c r="E103" s="608"/>
      <c r="F103" s="609"/>
      <c r="G103" s="844"/>
      <c r="H103" s="844"/>
    </row>
    <row r="104" spans="1:8" ht="12.75" customHeight="1" x14ac:dyDescent="0.2">
      <c r="A104" s="599"/>
      <c r="B104" s="599"/>
      <c r="C104" s="599"/>
      <c r="D104" s="601" t="s">
        <v>465</v>
      </c>
      <c r="E104" s="604" t="s">
        <v>466</v>
      </c>
      <c r="F104" s="605"/>
      <c r="G104" s="801" t="s">
        <v>455</v>
      </c>
      <c r="H104" s="801"/>
    </row>
    <row r="105" spans="1:8" ht="12.75" customHeight="1" x14ac:dyDescent="0.2">
      <c r="A105" s="599"/>
      <c r="B105" s="599"/>
      <c r="C105" s="599"/>
      <c r="D105" s="602"/>
      <c r="E105" s="606"/>
      <c r="F105" s="607"/>
      <c r="G105" s="801"/>
      <c r="H105" s="801"/>
    </row>
    <row r="106" spans="1:8" ht="12.75" customHeight="1" x14ac:dyDescent="0.2">
      <c r="A106" s="599"/>
      <c r="B106" s="599"/>
      <c r="C106" s="599"/>
      <c r="D106" s="602"/>
      <c r="E106" s="606"/>
      <c r="F106" s="607"/>
      <c r="G106" s="801"/>
      <c r="H106" s="801"/>
    </row>
    <row r="107" spans="1:8" ht="12.75" customHeight="1" x14ac:dyDescent="0.2">
      <c r="A107" s="599"/>
      <c r="B107" s="599"/>
      <c r="C107" s="599"/>
      <c r="D107" s="602"/>
      <c r="E107" s="606"/>
      <c r="F107" s="607"/>
      <c r="G107" s="801"/>
      <c r="H107" s="801"/>
    </row>
    <row r="108" spans="1:8" ht="12.75" customHeight="1" x14ac:dyDescent="0.2">
      <c r="A108" s="599"/>
      <c r="B108" s="599"/>
      <c r="C108" s="599"/>
      <c r="D108" s="602"/>
      <c r="E108" s="608"/>
      <c r="F108" s="609"/>
      <c r="G108" s="801"/>
      <c r="H108" s="801"/>
    </row>
    <row r="109" spans="1:8" ht="12.75" customHeight="1" x14ac:dyDescent="0.2">
      <c r="A109" s="599"/>
      <c r="B109" s="599"/>
      <c r="C109" s="599"/>
      <c r="D109" s="602"/>
      <c r="E109" s="604" t="s">
        <v>467</v>
      </c>
      <c r="F109" s="605"/>
      <c r="G109" s="844" t="s">
        <v>336</v>
      </c>
      <c r="H109" s="844"/>
    </row>
    <row r="110" spans="1:8" ht="12.75" customHeight="1" x14ac:dyDescent="0.2">
      <c r="A110" s="600"/>
      <c r="B110" s="600"/>
      <c r="C110" s="600"/>
      <c r="D110" s="603"/>
      <c r="E110" s="608"/>
      <c r="F110" s="609"/>
      <c r="G110" s="844"/>
      <c r="H110" s="844"/>
    </row>
    <row r="111" spans="1:8" ht="12.75" customHeight="1" x14ac:dyDescent="0.2">
      <c r="A111" s="598" t="s">
        <v>89</v>
      </c>
      <c r="B111" s="598" t="s">
        <v>468</v>
      </c>
      <c r="C111" s="598" t="s">
        <v>149</v>
      </c>
      <c r="D111" s="783" t="s">
        <v>456</v>
      </c>
      <c r="E111" s="623" t="s">
        <v>469</v>
      </c>
      <c r="F111" s="624"/>
      <c r="G111" s="845"/>
      <c r="H111" s="845"/>
    </row>
    <row r="112" spans="1:8" ht="12.75" customHeight="1" x14ac:dyDescent="0.2">
      <c r="A112" s="599"/>
      <c r="B112" s="599"/>
      <c r="C112" s="599"/>
      <c r="D112" s="784"/>
      <c r="E112" s="625"/>
      <c r="F112" s="626"/>
      <c r="G112" s="845"/>
      <c r="H112" s="845"/>
    </row>
    <row r="113" spans="1:8" ht="12.75" customHeight="1" x14ac:dyDescent="0.2">
      <c r="A113" s="599"/>
      <c r="B113" s="599"/>
      <c r="C113" s="599"/>
      <c r="D113" s="784"/>
      <c r="E113" s="625"/>
      <c r="F113" s="626"/>
      <c r="G113" s="845"/>
      <c r="H113" s="845"/>
    </row>
    <row r="114" spans="1:8" ht="12.75" customHeight="1" x14ac:dyDescent="0.2">
      <c r="A114" s="599"/>
      <c r="B114" s="599"/>
      <c r="C114" s="599"/>
      <c r="D114" s="784"/>
      <c r="E114" s="625"/>
      <c r="F114" s="626"/>
      <c r="G114" s="845"/>
      <c r="H114" s="845"/>
    </row>
    <row r="115" spans="1:8" ht="12.75" customHeight="1" x14ac:dyDescent="0.2">
      <c r="A115" s="600"/>
      <c r="B115" s="600"/>
      <c r="C115" s="600"/>
      <c r="D115" s="785"/>
      <c r="E115" s="627"/>
      <c r="F115" s="628"/>
      <c r="G115" s="845"/>
      <c r="H115" s="845"/>
    </row>
  </sheetData>
  <sheetProtection algorithmName="SHA-512" hashValue="+ypjptw2FnpgRu7+WWDz77Tx+HwoyERTNmynbF+nKqvqFXpTiQX478S5lONkvBfHUvoZW0gRMb7DAqPjeoS7Pw==" saltValue="aQkkibcv2l6K1LoX6zl7nw==" spinCount="100000" sheet="1" objects="1" scenarios="1"/>
  <mergeCells count="139">
    <mergeCell ref="G111:H115"/>
    <mergeCell ref="D104:D110"/>
    <mergeCell ref="E104:F108"/>
    <mergeCell ref="G104:H108"/>
    <mergeCell ref="E109:F110"/>
    <mergeCell ref="G109:H110"/>
    <mergeCell ref="A111:A115"/>
    <mergeCell ref="B111:B115"/>
    <mergeCell ref="C111:C115"/>
    <mergeCell ref="D111:D115"/>
    <mergeCell ref="E111:F115"/>
    <mergeCell ref="D79:H79"/>
    <mergeCell ref="A80:A110"/>
    <mergeCell ref="B80:B110"/>
    <mergeCell ref="C80:C110"/>
    <mergeCell ref="D80:D84"/>
    <mergeCell ref="E80:F84"/>
    <mergeCell ref="G80:H84"/>
    <mergeCell ref="D85:D89"/>
    <mergeCell ref="E85:F89"/>
    <mergeCell ref="G85:H89"/>
    <mergeCell ref="D90:D103"/>
    <mergeCell ref="E90:F94"/>
    <mergeCell ref="G90:H94"/>
    <mergeCell ref="E95:F96"/>
    <mergeCell ref="G95:H96"/>
    <mergeCell ref="E97:F101"/>
    <mergeCell ref="G97:H101"/>
    <mergeCell ref="E102:F103"/>
    <mergeCell ref="G102:H103"/>
    <mergeCell ref="A72:B72"/>
    <mergeCell ref="A73:B74"/>
    <mergeCell ref="C73:H74"/>
    <mergeCell ref="A75:B76"/>
    <mergeCell ref="C75:H76"/>
    <mergeCell ref="A78:H78"/>
    <mergeCell ref="A69:B69"/>
    <mergeCell ref="C69:D69"/>
    <mergeCell ref="E69:F69"/>
    <mergeCell ref="G69:H69"/>
    <mergeCell ref="A70:B70"/>
    <mergeCell ref="C70:D70"/>
    <mergeCell ref="E70:F70"/>
    <mergeCell ref="G70:H70"/>
    <mergeCell ref="C67:D67"/>
    <mergeCell ref="E67:F67"/>
    <mergeCell ref="G67:H67"/>
    <mergeCell ref="A68:B68"/>
    <mergeCell ref="C68:D68"/>
    <mergeCell ref="E68:F68"/>
    <mergeCell ref="G68:H68"/>
    <mergeCell ref="H59:H61"/>
    <mergeCell ref="A62:H62"/>
    <mergeCell ref="A63:A65"/>
    <mergeCell ref="B63:B65"/>
    <mergeCell ref="C63:C65"/>
    <mergeCell ref="D63:D65"/>
    <mergeCell ref="E63:E65"/>
    <mergeCell ref="F63:F65"/>
    <mergeCell ref="G63:G65"/>
    <mergeCell ref="A58:H58"/>
    <mergeCell ref="A59:A61"/>
    <mergeCell ref="B59:B61"/>
    <mergeCell ref="C59:C61"/>
    <mergeCell ref="D59:D61"/>
    <mergeCell ref="E59:E61"/>
    <mergeCell ref="F59:F61"/>
    <mergeCell ref="G59:G61"/>
    <mergeCell ref="H63:H65"/>
    <mergeCell ref="A54:H54"/>
    <mergeCell ref="A55:A57"/>
    <mergeCell ref="B55:B57"/>
    <mergeCell ref="C55:C57"/>
    <mergeCell ref="D55:D57"/>
    <mergeCell ref="E55:E57"/>
    <mergeCell ref="F55:F57"/>
    <mergeCell ref="G55:G57"/>
    <mergeCell ref="H55:H57"/>
    <mergeCell ref="A46:B48"/>
    <mergeCell ref="C46:D48"/>
    <mergeCell ref="E46:F48"/>
    <mergeCell ref="G46:H48"/>
    <mergeCell ref="A50:A53"/>
    <mergeCell ref="B50:B53"/>
    <mergeCell ref="C50:C53"/>
    <mergeCell ref="D50:D53"/>
    <mergeCell ref="E50:E53"/>
    <mergeCell ref="F50:F53"/>
    <mergeCell ref="G50:G53"/>
    <mergeCell ref="H50:H53"/>
    <mergeCell ref="A43:B43"/>
    <mergeCell ref="C43:D43"/>
    <mergeCell ref="E43:F43"/>
    <mergeCell ref="G43:H43"/>
    <mergeCell ref="A44:B45"/>
    <mergeCell ref="C44:D45"/>
    <mergeCell ref="E44:F45"/>
    <mergeCell ref="G44:H45"/>
    <mergeCell ref="A32:B41"/>
    <mergeCell ref="C32:D41"/>
    <mergeCell ref="E32:F41"/>
    <mergeCell ref="G32:H41"/>
    <mergeCell ref="A42:B42"/>
    <mergeCell ref="C42:D42"/>
    <mergeCell ref="E42:F42"/>
    <mergeCell ref="G42:H42"/>
    <mergeCell ref="A27:B28"/>
    <mergeCell ref="C27:H28"/>
    <mergeCell ref="C30:D30"/>
    <mergeCell ref="E30:F30"/>
    <mergeCell ref="G30:H30"/>
    <mergeCell ref="A31:B31"/>
    <mergeCell ref="C31:D31"/>
    <mergeCell ref="E31:F31"/>
    <mergeCell ref="G31:H31"/>
    <mergeCell ref="A24:B24"/>
    <mergeCell ref="C24:H24"/>
    <mergeCell ref="A25:B25"/>
    <mergeCell ref="C25:H25"/>
    <mergeCell ref="A26:B26"/>
    <mergeCell ref="C26:H26"/>
    <mergeCell ref="A21:B21"/>
    <mergeCell ref="C21:H21"/>
    <mergeCell ref="A22:B22"/>
    <mergeCell ref="C22:H22"/>
    <mergeCell ref="A23:B23"/>
    <mergeCell ref="C23:H23"/>
    <mergeCell ref="A11:B13"/>
    <mergeCell ref="C11:H13"/>
    <mergeCell ref="A15:B19"/>
    <mergeCell ref="C15:H19"/>
    <mergeCell ref="A20:B20"/>
    <mergeCell ref="C20:H20"/>
    <mergeCell ref="A8:B8"/>
    <mergeCell ref="C8:H8"/>
    <mergeCell ref="A9:B9"/>
    <mergeCell ref="C9:H9"/>
    <mergeCell ref="A10:B10"/>
    <mergeCell ref="C10:H10"/>
  </mergeCells>
  <conditionalFormatting sqref="G109:H110 G102:H103 G95:H96">
    <cfRule type="containsText" dxfId="185" priority="1" operator="containsText" text="Yes">
      <formula>NOT(ISERROR(SEARCH("Yes",G95)))</formula>
    </cfRule>
    <cfRule type="containsText" dxfId="184" priority="2" operator="containsText" text="No">
      <formula>NOT(ISERROR(SEARCH("No",G95)))</formula>
    </cfRule>
    <cfRule type="containsText" dxfId="183" priority="3" operator="containsText" text="N/A">
      <formula>NOT(ISERROR(SEARCH("N/A",G95)))</formula>
    </cfRule>
  </conditionalFormatting>
  <pageMargins left="0.7" right="0.7" top="0.75" bottom="0.75" header="0.3" footer="0.3"/>
  <pageSetup scale="49" fitToHeight="0" orientation="landscape" r:id="rId1"/>
  <drawing r:id="rId2"/>
  <legacyDrawing r:id="rId3"/>
  <controls>
    <mc:AlternateContent xmlns:mc="http://schemas.openxmlformats.org/markup-compatibility/2006">
      <mc:Choice Requires="x14">
        <control shapeId="14337"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4337" r:id="rId4" name="backMenuBtn"/>
      </mc:Fallback>
    </mc:AlternateContent>
    <mc:AlternateContent xmlns:mc="http://schemas.openxmlformats.org/markup-compatibility/2006">
      <mc:Choice Requires="x14">
        <control shapeId="14338" r:id="rId6" name="CommandButton1">
          <controlPr defaultSize="0" autoLine="0" r:id="rId7">
            <anchor moveWithCells="1">
              <from>
                <xdr:col>1</xdr:col>
                <xdr:colOff>638175</xdr:colOff>
                <xdr:row>0</xdr:row>
                <xdr:rowOff>0</xdr:rowOff>
              </from>
              <to>
                <xdr:col>1</xdr:col>
                <xdr:colOff>1838325</xdr:colOff>
                <xdr:row>1</xdr:row>
                <xdr:rowOff>114300</xdr:rowOff>
              </to>
            </anchor>
          </controlPr>
        </control>
      </mc:Choice>
      <mc:Fallback>
        <control shapeId="14338" r:id="rId6" name="CommandButton1"/>
      </mc:Fallback>
    </mc:AlternateContent>
    <mc:AlternateContent xmlns:mc="http://schemas.openxmlformats.org/markup-compatibility/2006">
      <mc:Choice Requires="x14">
        <control shapeId="14339" r:id="rId8" name="CommandButton2">
          <controlPr defaultSize="0" autoLine="0" r:id="rId9">
            <anchor moveWithCells="1">
              <from>
                <xdr:col>0</xdr:col>
                <xdr:colOff>1343025</xdr:colOff>
                <xdr:row>0</xdr:row>
                <xdr:rowOff>9525</xdr:rowOff>
              </from>
              <to>
                <xdr:col>1</xdr:col>
                <xdr:colOff>504825</xdr:colOff>
                <xdr:row>1</xdr:row>
                <xdr:rowOff>123825</xdr:rowOff>
              </to>
            </anchor>
          </controlPr>
        </control>
      </mc:Choice>
      <mc:Fallback>
        <control shapeId="14339"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Dropdown!$H$2:$H$13</xm:f>
          </x14:formula1>
          <xm:sqref>C70:D70 C46:H48</xm:sqref>
        </x14:dataValidation>
        <x14:dataValidation type="list" allowBlank="1" showInputMessage="1" showErrorMessage="1">
          <x14:formula1>
            <xm:f>Dropdown!$I$2:$I$5</xm:f>
          </x14:formula1>
          <xm:sqref>G95:H96 G102:H103 G109:H110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pageSetUpPr fitToPage="1"/>
  </sheetPr>
  <dimension ref="A1:L259"/>
  <sheetViews>
    <sheetView showGridLines="0" zoomScale="85" zoomScaleNormal="85" zoomScalePageLayoutView="60" workbookViewId="0">
      <pane xSplit="2" ySplit="14" topLeftCell="C15" activePane="bottomRight" state="frozen"/>
      <selection activeCell="C156" sqref="C156"/>
      <selection pane="topRight" activeCell="C156" sqref="C156"/>
      <selection pane="bottomLeft" activeCell="C156" sqref="C156"/>
      <selection pane="bottomRight" activeCell="C156" sqref="C156:C159"/>
    </sheetView>
  </sheetViews>
  <sheetFormatPr defaultColWidth="9.42578125" defaultRowHeight="12.75" customHeight="1" outlineLevelRow="1" x14ac:dyDescent="0.2"/>
  <cols>
    <col min="1" max="2" width="30.5703125" style="267" customWidth="1"/>
    <col min="3" max="11" width="20.5703125" style="267" customWidth="1"/>
    <col min="12" max="12" width="1.5703125" style="267" customWidth="1"/>
    <col min="13" max="16384" width="9.42578125" style="267"/>
  </cols>
  <sheetData>
    <row r="1" spans="1:11" ht="12.75" customHeight="1" x14ac:dyDescent="0.2">
      <c r="A1" s="267" t="s">
        <v>760</v>
      </c>
    </row>
    <row r="3" spans="1:11" ht="12.75" customHeight="1" outlineLevel="1" x14ac:dyDescent="0.2">
      <c r="A3" s="266" t="str">
        <f>Narrative!A3</f>
        <v>ViewRay</v>
      </c>
    </row>
    <row r="4" spans="1:11" ht="12.75" customHeight="1" outlineLevel="1" x14ac:dyDescent="0.2">
      <c r="A4" s="268" t="s">
        <v>394</v>
      </c>
    </row>
    <row r="5" spans="1:11" ht="12.75" customHeight="1" outlineLevel="1" x14ac:dyDescent="0.2">
      <c r="A5" s="266" t="str">
        <f>Narrative!A5</f>
        <v>Financial Close and Reporting (FCR)</v>
      </c>
    </row>
    <row r="6" spans="1:11" ht="12.75" customHeight="1" outlineLevel="1" x14ac:dyDescent="0.2">
      <c r="A6" s="266" t="str">
        <f>Narrative!A6</f>
        <v>FY 2019</v>
      </c>
    </row>
    <row r="7" spans="1:11" ht="12.75" customHeight="1" outlineLevel="1" x14ac:dyDescent="0.2">
      <c r="A7" s="269"/>
      <c r="B7" s="269"/>
      <c r="C7" s="270"/>
      <c r="D7" s="270"/>
      <c r="E7" s="270"/>
      <c r="F7" s="270"/>
      <c r="G7" s="270"/>
      <c r="H7" s="270"/>
      <c r="I7" s="270"/>
      <c r="J7" s="270"/>
      <c r="K7" s="271"/>
    </row>
    <row r="8" spans="1:11" ht="12.75" customHeight="1" x14ac:dyDescent="0.2">
      <c r="A8" s="473" t="s">
        <v>395</v>
      </c>
      <c r="B8" s="474"/>
      <c r="C8" s="470" t="str">
        <f>RCM!A11</f>
        <v>FCR</v>
      </c>
      <c r="D8" s="471"/>
      <c r="E8" s="471"/>
      <c r="F8" s="471"/>
      <c r="G8" s="471"/>
      <c r="H8" s="471"/>
      <c r="I8" s="471"/>
      <c r="J8" s="471"/>
      <c r="K8" s="472"/>
    </row>
    <row r="9" spans="1:11" ht="12.75" customHeight="1" x14ac:dyDescent="0.2">
      <c r="A9" s="466" t="s">
        <v>396</v>
      </c>
      <c r="B9" s="475"/>
      <c r="C9" s="470" t="str">
        <f>VLOOKUP($C$10,RCM!J:X,4,0)</f>
        <v>Accounting Manager or Above</v>
      </c>
      <c r="D9" s="471"/>
      <c r="E9" s="471"/>
      <c r="F9" s="471"/>
      <c r="G9" s="471"/>
      <c r="H9" s="471"/>
      <c r="I9" s="471"/>
      <c r="J9" s="471"/>
      <c r="K9" s="472"/>
    </row>
    <row r="10" spans="1:11" ht="12.75" customHeight="1" x14ac:dyDescent="0.2">
      <c r="A10" s="459" t="s">
        <v>397</v>
      </c>
      <c r="B10" s="476"/>
      <c r="C10" s="470" t="str">
        <f>RCM!J17</f>
        <v>FCR 4.02</v>
      </c>
      <c r="D10" s="471"/>
      <c r="E10" s="471"/>
      <c r="F10" s="471"/>
      <c r="G10" s="471"/>
      <c r="H10" s="471"/>
      <c r="I10" s="471"/>
      <c r="J10" s="471"/>
      <c r="K10" s="472"/>
    </row>
    <row r="11" spans="1:11" ht="12.75" customHeight="1" x14ac:dyDescent="0.2">
      <c r="A11" s="459" t="s">
        <v>398</v>
      </c>
      <c r="B11" s="459"/>
      <c r="C11" s="460" t="str">
        <f>VLOOKUP($C$10,RCM!J:X,2,0)</f>
        <v xml:space="preserve">Monthly, all reconciliations are reviewed by an individual independent of the preparer by agreeing the reconciliation to the supporting documentation, ensuring mathematical accuracy, and agreeing the ending balance to the general ledger.  Reconciling items exceeding the greater of $1K are investigated and explained.  The review is evidenced by comments noted on the reconciliation and the approval is evidenced by sign-off on the reconciliation.  </v>
      </c>
      <c r="D11" s="461"/>
      <c r="E11" s="461"/>
      <c r="F11" s="461"/>
      <c r="G11" s="461"/>
      <c r="H11" s="461"/>
      <c r="I11" s="461"/>
      <c r="J11" s="461"/>
      <c r="K11" s="462"/>
    </row>
    <row r="12" spans="1:11" ht="12.75" customHeight="1" x14ac:dyDescent="0.2">
      <c r="A12" s="459"/>
      <c r="B12" s="459"/>
      <c r="C12" s="467"/>
      <c r="D12" s="468"/>
      <c r="E12" s="468"/>
      <c r="F12" s="468"/>
      <c r="G12" s="468"/>
      <c r="H12" s="468"/>
      <c r="I12" s="468"/>
      <c r="J12" s="468"/>
      <c r="K12" s="469"/>
    </row>
    <row r="13" spans="1:11" ht="12.75" customHeight="1" x14ac:dyDescent="0.2">
      <c r="A13" s="459"/>
      <c r="B13" s="459"/>
      <c r="C13" s="467"/>
      <c r="D13" s="468"/>
      <c r="E13" s="468"/>
      <c r="F13" s="468"/>
      <c r="G13" s="468"/>
      <c r="H13" s="468"/>
      <c r="I13" s="468"/>
      <c r="J13" s="468"/>
      <c r="K13" s="469"/>
    </row>
    <row r="14" spans="1:11" ht="12.75" customHeight="1" x14ac:dyDescent="0.2">
      <c r="A14" s="459"/>
      <c r="B14" s="459"/>
      <c r="C14" s="463" t="e">
        <v>#N/A</v>
      </c>
      <c r="D14" s="464"/>
      <c r="E14" s="464"/>
      <c r="F14" s="464"/>
      <c r="G14" s="464"/>
      <c r="H14" s="464"/>
      <c r="I14" s="464"/>
      <c r="J14" s="464"/>
      <c r="K14" s="465"/>
    </row>
    <row r="15" spans="1:11" ht="12.75" customHeight="1" x14ac:dyDescent="0.2">
      <c r="A15" s="272"/>
      <c r="B15" s="273"/>
      <c r="C15" s="274"/>
      <c r="D15" s="274"/>
      <c r="E15" s="274"/>
      <c r="F15" s="274"/>
      <c r="G15" s="274"/>
      <c r="H15" s="274"/>
      <c r="I15" s="274"/>
      <c r="J15" s="274"/>
      <c r="K15" s="271"/>
    </row>
    <row r="16" spans="1:11" ht="12.75" customHeight="1" x14ac:dyDescent="0.2">
      <c r="A16" s="466" t="s">
        <v>399</v>
      </c>
      <c r="B16" s="466"/>
      <c r="C16" s="460" t="str">
        <f>VLOOKUP($C$10,RCM!J:X,12,)</f>
        <v>1. Obtain the Trial Balance listing all accounts to be reconciled and select a sample of balance sheet account reconciliations, along with supporting documentation and evidence of review.
2. Review the reconciliation to ensure that it agrees to the supporting documentation and GL.
3. Verify the clerical accuracy of the reconciliation.
4.  Verify the review and approval were properly evidenced.
5. Ensure all reconciling items exceeding control threshold were investigated and explained.</v>
      </c>
      <c r="D16" s="461"/>
      <c r="E16" s="461"/>
      <c r="F16" s="461"/>
      <c r="G16" s="461"/>
      <c r="H16" s="461"/>
      <c r="I16" s="461"/>
      <c r="J16" s="461"/>
      <c r="K16" s="462"/>
    </row>
    <row r="17" spans="1:11" ht="12.75" customHeight="1" x14ac:dyDescent="0.2">
      <c r="A17" s="466"/>
      <c r="B17" s="466"/>
      <c r="C17" s="467"/>
      <c r="D17" s="468"/>
      <c r="E17" s="468"/>
      <c r="F17" s="468"/>
      <c r="G17" s="468"/>
      <c r="H17" s="468"/>
      <c r="I17" s="468"/>
      <c r="J17" s="468"/>
      <c r="K17" s="469"/>
    </row>
    <row r="18" spans="1:11" ht="12.75" customHeight="1" x14ac:dyDescent="0.2">
      <c r="A18" s="466"/>
      <c r="B18" s="466"/>
      <c r="C18" s="467"/>
      <c r="D18" s="468"/>
      <c r="E18" s="468"/>
      <c r="F18" s="468"/>
      <c r="G18" s="468"/>
      <c r="H18" s="468"/>
      <c r="I18" s="468"/>
      <c r="J18" s="468"/>
      <c r="K18" s="469"/>
    </row>
    <row r="19" spans="1:11" ht="12.75" customHeight="1" x14ac:dyDescent="0.2">
      <c r="A19" s="466"/>
      <c r="B19" s="466"/>
      <c r="C19" s="467"/>
      <c r="D19" s="468"/>
      <c r="E19" s="468"/>
      <c r="F19" s="468"/>
      <c r="G19" s="468"/>
      <c r="H19" s="468"/>
      <c r="I19" s="468"/>
      <c r="J19" s="468"/>
      <c r="K19" s="469"/>
    </row>
    <row r="20" spans="1:11" ht="12.75" customHeight="1" x14ac:dyDescent="0.2">
      <c r="A20" s="466"/>
      <c r="B20" s="466"/>
      <c r="C20" s="467"/>
      <c r="D20" s="468"/>
      <c r="E20" s="468"/>
      <c r="F20" s="468"/>
      <c r="G20" s="468"/>
      <c r="H20" s="468"/>
      <c r="I20" s="468"/>
      <c r="J20" s="468"/>
      <c r="K20" s="469"/>
    </row>
    <row r="21" spans="1:11" ht="12.75" customHeight="1" x14ac:dyDescent="0.2">
      <c r="A21" s="466"/>
      <c r="B21" s="466"/>
      <c r="C21" s="463" t="e">
        <v>#N/A</v>
      </c>
      <c r="D21" s="464"/>
      <c r="E21" s="464"/>
      <c r="F21" s="464"/>
      <c r="G21" s="464"/>
      <c r="H21" s="464"/>
      <c r="I21" s="464"/>
      <c r="J21" s="464"/>
      <c r="K21" s="465"/>
    </row>
    <row r="22" spans="1:11" ht="12.75" customHeight="1" x14ac:dyDescent="0.2">
      <c r="A22" s="466" t="s">
        <v>400</v>
      </c>
      <c r="B22" s="466"/>
      <c r="C22" s="470" t="str">
        <f>VLOOKUP($C$10,RCM!J:X,8,0)</f>
        <v>Inspection</v>
      </c>
      <c r="D22" s="471"/>
      <c r="E22" s="471"/>
      <c r="F22" s="471"/>
      <c r="G22" s="471"/>
      <c r="H22" s="471"/>
      <c r="I22" s="471"/>
      <c r="J22" s="471"/>
      <c r="K22" s="472"/>
    </row>
    <row r="23" spans="1:11" ht="12.75" customHeight="1" x14ac:dyDescent="0.2">
      <c r="A23" s="466" t="s">
        <v>401</v>
      </c>
      <c r="B23" s="475"/>
      <c r="C23" s="470" t="str">
        <f>VLOOKUP($C$10,RCM!J:X,5,0)</f>
        <v>Monthly</v>
      </c>
      <c r="D23" s="471"/>
      <c r="E23" s="471"/>
      <c r="F23" s="471"/>
      <c r="G23" s="471"/>
      <c r="H23" s="471"/>
      <c r="I23" s="471"/>
      <c r="J23" s="471"/>
      <c r="K23" s="472"/>
    </row>
    <row r="24" spans="1:11" ht="12.75" customHeight="1" x14ac:dyDescent="0.2">
      <c r="A24" s="466" t="s">
        <v>402</v>
      </c>
      <c r="B24" s="475"/>
      <c r="C24" s="709">
        <f>VLOOKUP($C$10,RCM!J:X,3,0)</f>
        <v>42186</v>
      </c>
      <c r="D24" s="709"/>
      <c r="E24" s="709"/>
      <c r="F24" s="709"/>
      <c r="G24" s="709"/>
      <c r="H24" s="709"/>
      <c r="I24" s="709"/>
      <c r="J24" s="709"/>
      <c r="K24" s="709"/>
    </row>
    <row r="25" spans="1:11" s="275" customFormat="1" ht="12.75" customHeight="1" x14ac:dyDescent="0.2">
      <c r="A25" s="466" t="s">
        <v>403</v>
      </c>
      <c r="B25" s="475"/>
      <c r="C25" s="480" t="str">
        <f>VLOOKUP($C$10,RCM!J:X,10,0)</f>
        <v>High</v>
      </c>
      <c r="D25" s="481"/>
      <c r="E25" s="481"/>
      <c r="F25" s="481"/>
      <c r="G25" s="481"/>
      <c r="H25" s="481"/>
      <c r="I25" s="481"/>
      <c r="J25" s="481"/>
      <c r="K25" s="482"/>
    </row>
    <row r="26" spans="1:11" ht="12.75" customHeight="1" x14ac:dyDescent="0.2">
      <c r="A26" s="466" t="s">
        <v>404</v>
      </c>
      <c r="B26" s="475"/>
      <c r="C26" s="477" t="str">
        <f>RCM!$AB$3</f>
        <v>1/1/19 - 6/30/19</v>
      </c>
      <c r="D26" s="478"/>
      <c r="E26" s="478"/>
      <c r="F26" s="478"/>
      <c r="G26" s="478"/>
      <c r="H26" s="478"/>
      <c r="I26" s="478"/>
      <c r="J26" s="478"/>
      <c r="K26" s="479"/>
    </row>
    <row r="27" spans="1:11" ht="12.75" customHeight="1" x14ac:dyDescent="0.2">
      <c r="A27" s="466" t="s">
        <v>405</v>
      </c>
      <c r="B27" s="475"/>
      <c r="C27" s="846" t="str">
        <f>VLOOKUP(C$10,RCM!$J$9:$AG$29,20,0)</f>
        <v>365+</v>
      </c>
      <c r="D27" s="481"/>
      <c r="E27" s="481"/>
      <c r="F27" s="481"/>
      <c r="G27" s="481"/>
      <c r="H27" s="481"/>
      <c r="I27" s="481"/>
      <c r="J27" s="481"/>
      <c r="K27" s="482"/>
    </row>
    <row r="28" spans="1:11" ht="12.75" customHeight="1" x14ac:dyDescent="0.2">
      <c r="A28" s="466" t="s">
        <v>406</v>
      </c>
      <c r="B28" s="475"/>
      <c r="C28" s="483" t="str">
        <f>RCM!$AB$5&amp;" "&amp;VLOOKUP(C$10,RCM!$J$9:$AG$29,21,0)&amp;" "&amp;RCM!$AB$6</f>
        <v>Annual sample size: 35 (See sample size derivation below)</v>
      </c>
      <c r="D28" s="484"/>
      <c r="E28" s="484"/>
      <c r="F28" s="484"/>
      <c r="G28" s="484"/>
      <c r="H28" s="484"/>
      <c r="I28" s="484"/>
      <c r="J28" s="484"/>
      <c r="K28" s="485"/>
    </row>
    <row r="29" spans="1:11" ht="12.75" customHeight="1" x14ac:dyDescent="0.2">
      <c r="A29" s="489" t="s">
        <v>407</v>
      </c>
      <c r="B29" s="490"/>
      <c r="C29" s="460" t="s">
        <v>591</v>
      </c>
      <c r="D29" s="461"/>
      <c r="E29" s="461"/>
      <c r="F29" s="461"/>
      <c r="G29" s="461"/>
      <c r="H29" s="461"/>
      <c r="I29" s="461"/>
      <c r="J29" s="461"/>
      <c r="K29" s="462"/>
    </row>
    <row r="30" spans="1:11" ht="12.75" customHeight="1" x14ac:dyDescent="0.2">
      <c r="A30" s="491"/>
      <c r="B30" s="492"/>
      <c r="C30" s="467"/>
      <c r="D30" s="468"/>
      <c r="E30" s="468"/>
      <c r="F30" s="468"/>
      <c r="G30" s="468"/>
      <c r="H30" s="468"/>
      <c r="I30" s="468"/>
      <c r="J30" s="468"/>
      <c r="K30" s="469"/>
    </row>
    <row r="31" spans="1:11" ht="12.75" customHeight="1" x14ac:dyDescent="0.2">
      <c r="A31" s="491"/>
      <c r="B31" s="492"/>
      <c r="C31" s="467"/>
      <c r="D31" s="468"/>
      <c r="E31" s="468"/>
      <c r="F31" s="468"/>
      <c r="G31" s="468"/>
      <c r="H31" s="468"/>
      <c r="I31" s="468"/>
      <c r="J31" s="468"/>
      <c r="K31" s="469"/>
    </row>
    <row r="32" spans="1:11" ht="12.75" customHeight="1" x14ac:dyDescent="0.2">
      <c r="A32" s="491"/>
      <c r="B32" s="492"/>
      <c r="C32" s="467"/>
      <c r="D32" s="468"/>
      <c r="E32" s="468"/>
      <c r="F32" s="468"/>
      <c r="G32" s="468"/>
      <c r="H32" s="468"/>
      <c r="I32" s="468"/>
      <c r="J32" s="468"/>
      <c r="K32" s="469"/>
    </row>
    <row r="33" spans="1:11" s="275" customFormat="1" ht="12.75" customHeight="1" x14ac:dyDescent="0.2">
      <c r="A33" s="493"/>
      <c r="B33" s="494"/>
      <c r="C33" s="463"/>
      <c r="D33" s="464"/>
      <c r="E33" s="464"/>
      <c r="F33" s="464"/>
      <c r="G33" s="464"/>
      <c r="H33" s="464"/>
      <c r="I33" s="464"/>
      <c r="J33" s="464"/>
      <c r="K33" s="465"/>
    </row>
    <row r="34" spans="1:11" ht="12.75" customHeight="1" x14ac:dyDescent="0.2">
      <c r="A34" s="277"/>
      <c r="B34" s="277"/>
      <c r="C34" s="278"/>
      <c r="D34" s="278"/>
      <c r="E34" s="278"/>
      <c r="F34" s="278"/>
      <c r="G34" s="278"/>
      <c r="H34" s="278"/>
      <c r="I34" s="278"/>
      <c r="J34" s="278"/>
      <c r="K34" s="278"/>
    </row>
    <row r="35" spans="1:11" ht="12.75" customHeight="1" x14ac:dyDescent="0.2">
      <c r="A35" s="279"/>
      <c r="B35" s="279"/>
      <c r="C35" s="506" t="s">
        <v>409</v>
      </c>
      <c r="D35" s="847"/>
      <c r="E35" s="507"/>
      <c r="F35" s="506" t="s">
        <v>410</v>
      </c>
      <c r="G35" s="847"/>
      <c r="H35" s="507"/>
      <c r="I35" s="506" t="s">
        <v>411</v>
      </c>
      <c r="J35" s="847"/>
      <c r="K35" s="507"/>
    </row>
    <row r="36" spans="1:11" ht="12.75" customHeight="1" x14ac:dyDescent="0.2">
      <c r="A36" s="508" t="s">
        <v>412</v>
      </c>
      <c r="B36" s="509"/>
      <c r="C36" s="510">
        <f>RCM!AE17</f>
        <v>20</v>
      </c>
      <c r="D36" s="794"/>
      <c r="E36" s="712"/>
      <c r="F36" s="510">
        <f>RCM!AF17</f>
        <v>12</v>
      </c>
      <c r="G36" s="794"/>
      <c r="H36" s="712"/>
      <c r="I36" s="510">
        <f>RCM!AG17</f>
        <v>3</v>
      </c>
      <c r="J36" s="794"/>
      <c r="K36" s="511"/>
    </row>
    <row r="37" spans="1:11" ht="12.75" customHeight="1" outlineLevel="1" x14ac:dyDescent="0.2">
      <c r="A37" s="523" t="s">
        <v>413</v>
      </c>
      <c r="B37" s="524"/>
      <c r="C37" s="529" t="s">
        <v>592</v>
      </c>
      <c r="D37" s="852"/>
      <c r="E37" s="716"/>
      <c r="F37" s="721"/>
      <c r="G37" s="852"/>
      <c r="H37" s="716"/>
      <c r="I37" s="722"/>
      <c r="J37" s="855"/>
      <c r="K37" s="723"/>
    </row>
    <row r="38" spans="1:11" ht="12.75" customHeight="1" outlineLevel="1" x14ac:dyDescent="0.2">
      <c r="A38" s="525"/>
      <c r="B38" s="526"/>
      <c r="C38" s="717"/>
      <c r="D38" s="853"/>
      <c r="E38" s="718"/>
      <c r="F38" s="717"/>
      <c r="G38" s="853"/>
      <c r="H38" s="718"/>
      <c r="I38" s="724"/>
      <c r="J38" s="856"/>
      <c r="K38" s="725"/>
    </row>
    <row r="39" spans="1:11" ht="12.75" customHeight="1" outlineLevel="1" x14ac:dyDescent="0.2">
      <c r="A39" s="525"/>
      <c r="B39" s="526"/>
      <c r="C39" s="717"/>
      <c r="D39" s="853"/>
      <c r="E39" s="718"/>
      <c r="F39" s="717"/>
      <c r="G39" s="853"/>
      <c r="H39" s="718"/>
      <c r="I39" s="724"/>
      <c r="J39" s="856"/>
      <c r="K39" s="725"/>
    </row>
    <row r="40" spans="1:11" ht="12.75" customHeight="1" outlineLevel="1" x14ac:dyDescent="0.2">
      <c r="A40" s="525"/>
      <c r="B40" s="526"/>
      <c r="C40" s="717"/>
      <c r="D40" s="853"/>
      <c r="E40" s="718"/>
      <c r="F40" s="717"/>
      <c r="G40" s="853"/>
      <c r="H40" s="718"/>
      <c r="I40" s="724"/>
      <c r="J40" s="856"/>
      <c r="K40" s="725"/>
    </row>
    <row r="41" spans="1:11" ht="12.75" customHeight="1" outlineLevel="1" x14ac:dyDescent="0.2">
      <c r="A41" s="525"/>
      <c r="B41" s="526"/>
      <c r="C41" s="717"/>
      <c r="D41" s="853"/>
      <c r="E41" s="718"/>
      <c r="F41" s="717"/>
      <c r="G41" s="853"/>
      <c r="H41" s="718"/>
      <c r="I41" s="724"/>
      <c r="J41" s="856"/>
      <c r="K41" s="725"/>
    </row>
    <row r="42" spans="1:11" ht="12.75" customHeight="1" outlineLevel="1" x14ac:dyDescent="0.2">
      <c r="A42" s="525"/>
      <c r="B42" s="526"/>
      <c r="C42" s="717"/>
      <c r="D42" s="853"/>
      <c r="E42" s="718"/>
      <c r="F42" s="717"/>
      <c r="G42" s="853"/>
      <c r="H42" s="718"/>
      <c r="I42" s="724"/>
      <c r="J42" s="856"/>
      <c r="K42" s="725"/>
    </row>
    <row r="43" spans="1:11" ht="12.75" customHeight="1" outlineLevel="1" x14ac:dyDescent="0.2">
      <c r="A43" s="525"/>
      <c r="B43" s="526"/>
      <c r="C43" s="717"/>
      <c r="D43" s="853"/>
      <c r="E43" s="718"/>
      <c r="F43" s="717"/>
      <c r="G43" s="853"/>
      <c r="H43" s="718"/>
      <c r="I43" s="724"/>
      <c r="J43" s="856"/>
      <c r="K43" s="725"/>
    </row>
    <row r="44" spans="1:11" ht="12.75" customHeight="1" outlineLevel="1" x14ac:dyDescent="0.2">
      <c r="A44" s="525"/>
      <c r="B44" s="526"/>
      <c r="C44" s="717"/>
      <c r="D44" s="853"/>
      <c r="E44" s="718"/>
      <c r="F44" s="717"/>
      <c r="G44" s="853"/>
      <c r="H44" s="718"/>
      <c r="I44" s="724"/>
      <c r="J44" s="856"/>
      <c r="K44" s="725"/>
    </row>
    <row r="45" spans="1:11" ht="12.75" customHeight="1" outlineLevel="1" x14ac:dyDescent="0.2">
      <c r="A45" s="525"/>
      <c r="B45" s="526"/>
      <c r="C45" s="717"/>
      <c r="D45" s="853"/>
      <c r="E45" s="718"/>
      <c r="F45" s="717"/>
      <c r="G45" s="853"/>
      <c r="H45" s="718"/>
      <c r="I45" s="724"/>
      <c r="J45" s="856"/>
      <c r="K45" s="725"/>
    </row>
    <row r="46" spans="1:11" ht="12.75" customHeight="1" outlineLevel="1" x14ac:dyDescent="0.2">
      <c r="A46" s="525"/>
      <c r="B46" s="526"/>
      <c r="C46" s="717"/>
      <c r="D46" s="853"/>
      <c r="E46" s="718"/>
      <c r="F46" s="717"/>
      <c r="G46" s="853"/>
      <c r="H46" s="718"/>
      <c r="I46" s="724"/>
      <c r="J46" s="856"/>
      <c r="K46" s="725"/>
    </row>
    <row r="47" spans="1:11" ht="12.75" customHeight="1" outlineLevel="1" x14ac:dyDescent="0.2">
      <c r="A47" s="525"/>
      <c r="B47" s="526"/>
      <c r="C47" s="717"/>
      <c r="D47" s="853"/>
      <c r="E47" s="718"/>
      <c r="F47" s="717"/>
      <c r="G47" s="853"/>
      <c r="H47" s="718"/>
      <c r="I47" s="724"/>
      <c r="J47" s="856"/>
      <c r="K47" s="725"/>
    </row>
    <row r="48" spans="1:11" ht="12.75" customHeight="1" outlineLevel="1" x14ac:dyDescent="0.2">
      <c r="A48" s="525"/>
      <c r="B48" s="526"/>
      <c r="C48" s="717"/>
      <c r="D48" s="853"/>
      <c r="E48" s="718"/>
      <c r="F48" s="717"/>
      <c r="G48" s="853"/>
      <c r="H48" s="718"/>
      <c r="I48" s="724"/>
      <c r="J48" s="856"/>
      <c r="K48" s="725"/>
    </row>
    <row r="49" spans="1:11" ht="12.75" customHeight="1" outlineLevel="1" x14ac:dyDescent="0.2">
      <c r="A49" s="525"/>
      <c r="B49" s="526"/>
      <c r="C49" s="717"/>
      <c r="D49" s="853"/>
      <c r="E49" s="718"/>
      <c r="F49" s="717"/>
      <c r="G49" s="853"/>
      <c r="H49" s="718"/>
      <c r="I49" s="724"/>
      <c r="J49" s="856"/>
      <c r="K49" s="725"/>
    </row>
    <row r="50" spans="1:11" ht="12.75" customHeight="1" outlineLevel="1" x14ac:dyDescent="0.2">
      <c r="A50" s="525"/>
      <c r="B50" s="526"/>
      <c r="C50" s="717"/>
      <c r="D50" s="853"/>
      <c r="E50" s="718"/>
      <c r="F50" s="717"/>
      <c r="G50" s="853"/>
      <c r="H50" s="718"/>
      <c r="I50" s="724"/>
      <c r="J50" s="856"/>
      <c r="K50" s="725"/>
    </row>
    <row r="51" spans="1:11" ht="12.75" customHeight="1" outlineLevel="1" x14ac:dyDescent="0.2">
      <c r="A51" s="525"/>
      <c r="B51" s="526"/>
      <c r="C51" s="717"/>
      <c r="D51" s="853"/>
      <c r="E51" s="718"/>
      <c r="F51" s="717"/>
      <c r="G51" s="853"/>
      <c r="H51" s="718"/>
      <c r="I51" s="724"/>
      <c r="J51" s="856"/>
      <c r="K51" s="725"/>
    </row>
    <row r="52" spans="1:11" ht="12.75" customHeight="1" outlineLevel="1" x14ac:dyDescent="0.2">
      <c r="A52" s="525"/>
      <c r="B52" s="526"/>
      <c r="C52" s="717"/>
      <c r="D52" s="853"/>
      <c r="E52" s="718"/>
      <c r="F52" s="717"/>
      <c r="G52" s="853"/>
      <c r="H52" s="718"/>
      <c r="I52" s="724"/>
      <c r="J52" s="856"/>
      <c r="K52" s="725"/>
    </row>
    <row r="53" spans="1:11" ht="12.75" customHeight="1" outlineLevel="1" x14ac:dyDescent="0.2">
      <c r="A53" s="525"/>
      <c r="B53" s="526"/>
      <c r="C53" s="717"/>
      <c r="D53" s="853"/>
      <c r="E53" s="718"/>
      <c r="F53" s="717"/>
      <c r="G53" s="853"/>
      <c r="H53" s="718"/>
      <c r="I53" s="724"/>
      <c r="J53" s="856"/>
      <c r="K53" s="725"/>
    </row>
    <row r="54" spans="1:11" ht="12.75" customHeight="1" outlineLevel="1" x14ac:dyDescent="0.2">
      <c r="A54" s="525"/>
      <c r="B54" s="526"/>
      <c r="C54" s="717"/>
      <c r="D54" s="853"/>
      <c r="E54" s="718"/>
      <c r="F54" s="717"/>
      <c r="G54" s="853"/>
      <c r="H54" s="718"/>
      <c r="I54" s="724"/>
      <c r="J54" s="856"/>
      <c r="K54" s="725"/>
    </row>
    <row r="55" spans="1:11" ht="12.75" customHeight="1" outlineLevel="1" x14ac:dyDescent="0.2">
      <c r="A55" s="525"/>
      <c r="B55" s="526"/>
      <c r="C55" s="717"/>
      <c r="D55" s="853"/>
      <c r="E55" s="718"/>
      <c r="F55" s="717"/>
      <c r="G55" s="853"/>
      <c r="H55" s="718"/>
      <c r="I55" s="724"/>
      <c r="J55" s="856"/>
      <c r="K55" s="725"/>
    </row>
    <row r="56" spans="1:11" ht="12.75" customHeight="1" outlineLevel="1" x14ac:dyDescent="0.2">
      <c r="A56" s="525"/>
      <c r="B56" s="526"/>
      <c r="C56" s="717"/>
      <c r="D56" s="853"/>
      <c r="E56" s="718"/>
      <c r="F56" s="717"/>
      <c r="G56" s="853"/>
      <c r="H56" s="718"/>
      <c r="I56" s="724"/>
      <c r="J56" s="856"/>
      <c r="K56" s="725"/>
    </row>
    <row r="57" spans="1:11" ht="12.75" customHeight="1" outlineLevel="1" x14ac:dyDescent="0.2">
      <c r="A57" s="525"/>
      <c r="B57" s="526"/>
      <c r="C57" s="717"/>
      <c r="D57" s="853"/>
      <c r="E57" s="718"/>
      <c r="F57" s="717"/>
      <c r="G57" s="853"/>
      <c r="H57" s="718"/>
      <c r="I57" s="724"/>
      <c r="J57" s="856"/>
      <c r="K57" s="725"/>
    </row>
    <row r="58" spans="1:11" ht="12.75" customHeight="1" outlineLevel="1" x14ac:dyDescent="0.2">
      <c r="A58" s="525"/>
      <c r="B58" s="526"/>
      <c r="C58" s="717"/>
      <c r="D58" s="853"/>
      <c r="E58" s="718"/>
      <c r="F58" s="717"/>
      <c r="G58" s="853"/>
      <c r="H58" s="718"/>
      <c r="I58" s="724"/>
      <c r="J58" s="856"/>
      <c r="K58" s="725"/>
    </row>
    <row r="59" spans="1:11" ht="12.75" customHeight="1" outlineLevel="1" x14ac:dyDescent="0.2">
      <c r="A59" s="525"/>
      <c r="B59" s="526"/>
      <c r="C59" s="717"/>
      <c r="D59" s="853"/>
      <c r="E59" s="718"/>
      <c r="F59" s="717"/>
      <c r="G59" s="853"/>
      <c r="H59" s="718"/>
      <c r="I59" s="724"/>
      <c r="J59" s="856"/>
      <c r="K59" s="725"/>
    </row>
    <row r="60" spans="1:11" ht="12.75" customHeight="1" outlineLevel="1" x14ac:dyDescent="0.2">
      <c r="A60" s="525"/>
      <c r="B60" s="526"/>
      <c r="C60" s="717"/>
      <c r="D60" s="853"/>
      <c r="E60" s="718"/>
      <c r="F60" s="717"/>
      <c r="G60" s="853"/>
      <c r="H60" s="718"/>
      <c r="I60" s="724"/>
      <c r="J60" s="856"/>
      <c r="K60" s="725"/>
    </row>
    <row r="61" spans="1:11" ht="12.75" customHeight="1" outlineLevel="1" x14ac:dyDescent="0.2">
      <c r="A61" s="525"/>
      <c r="B61" s="526"/>
      <c r="C61" s="717"/>
      <c r="D61" s="853"/>
      <c r="E61" s="718"/>
      <c r="F61" s="717"/>
      <c r="G61" s="853"/>
      <c r="H61" s="718"/>
      <c r="I61" s="724"/>
      <c r="J61" s="856"/>
      <c r="K61" s="725"/>
    </row>
    <row r="62" spans="1:11" ht="12.75" customHeight="1" outlineLevel="1" x14ac:dyDescent="0.2">
      <c r="A62" s="525"/>
      <c r="B62" s="526"/>
      <c r="C62" s="717"/>
      <c r="D62" s="853"/>
      <c r="E62" s="718"/>
      <c r="F62" s="717"/>
      <c r="G62" s="853"/>
      <c r="H62" s="718"/>
      <c r="I62" s="724"/>
      <c r="J62" s="856"/>
      <c r="K62" s="725"/>
    </row>
    <row r="63" spans="1:11" ht="12.75" customHeight="1" outlineLevel="1" x14ac:dyDescent="0.2">
      <c r="A63" s="525"/>
      <c r="B63" s="526"/>
      <c r="C63" s="717"/>
      <c r="D63" s="853"/>
      <c r="E63" s="718"/>
      <c r="F63" s="717"/>
      <c r="G63" s="853"/>
      <c r="H63" s="718"/>
      <c r="I63" s="724"/>
      <c r="J63" s="856"/>
      <c r="K63" s="725"/>
    </row>
    <row r="64" spans="1:11" ht="12.75" customHeight="1" outlineLevel="1" x14ac:dyDescent="0.2">
      <c r="A64" s="525"/>
      <c r="B64" s="526"/>
      <c r="C64" s="717"/>
      <c r="D64" s="853"/>
      <c r="E64" s="718"/>
      <c r="F64" s="717"/>
      <c r="G64" s="853"/>
      <c r="H64" s="718"/>
      <c r="I64" s="724"/>
      <c r="J64" s="856"/>
      <c r="K64" s="725"/>
    </row>
    <row r="65" spans="1:12" ht="12.75" customHeight="1" outlineLevel="1" x14ac:dyDescent="0.2">
      <c r="A65" s="525"/>
      <c r="B65" s="526"/>
      <c r="C65" s="717"/>
      <c r="D65" s="853"/>
      <c r="E65" s="718"/>
      <c r="F65" s="717"/>
      <c r="G65" s="853"/>
      <c r="H65" s="718"/>
      <c r="I65" s="724"/>
      <c r="J65" s="856"/>
      <c r="K65" s="725"/>
    </row>
    <row r="66" spans="1:12" ht="12.75" customHeight="1" outlineLevel="1" x14ac:dyDescent="0.2">
      <c r="A66" s="525"/>
      <c r="B66" s="526"/>
      <c r="C66" s="717"/>
      <c r="D66" s="853"/>
      <c r="E66" s="718"/>
      <c r="F66" s="717"/>
      <c r="G66" s="853"/>
      <c r="H66" s="718"/>
      <c r="I66" s="724"/>
      <c r="J66" s="856"/>
      <c r="K66" s="725"/>
    </row>
    <row r="67" spans="1:12" ht="12.75" customHeight="1" outlineLevel="1" x14ac:dyDescent="0.2">
      <c r="A67" s="525"/>
      <c r="B67" s="526"/>
      <c r="C67" s="717"/>
      <c r="D67" s="853"/>
      <c r="E67" s="718"/>
      <c r="F67" s="717"/>
      <c r="G67" s="853"/>
      <c r="H67" s="718"/>
      <c r="I67" s="724"/>
      <c r="J67" s="856"/>
      <c r="K67" s="725"/>
    </row>
    <row r="68" spans="1:12" ht="12.75" customHeight="1" outlineLevel="1" x14ac:dyDescent="0.2">
      <c r="A68" s="525"/>
      <c r="B68" s="526"/>
      <c r="C68" s="717"/>
      <c r="D68" s="853"/>
      <c r="E68" s="718"/>
      <c r="F68" s="717"/>
      <c r="G68" s="853"/>
      <c r="H68" s="718"/>
      <c r="I68" s="724"/>
      <c r="J68" s="856"/>
      <c r="K68" s="725"/>
    </row>
    <row r="69" spans="1:12" ht="12.75" customHeight="1" outlineLevel="1" x14ac:dyDescent="0.2">
      <c r="A69" s="525"/>
      <c r="B69" s="526"/>
      <c r="C69" s="717"/>
      <c r="D69" s="853"/>
      <c r="E69" s="718"/>
      <c r="F69" s="717"/>
      <c r="G69" s="853"/>
      <c r="H69" s="718"/>
      <c r="I69" s="724"/>
      <c r="J69" s="856"/>
      <c r="K69" s="725"/>
    </row>
    <row r="70" spans="1:12" ht="12.75" customHeight="1" outlineLevel="1" x14ac:dyDescent="0.2">
      <c r="A70" s="527"/>
      <c r="B70" s="528"/>
      <c r="C70" s="719"/>
      <c r="D70" s="854"/>
      <c r="E70" s="720"/>
      <c r="F70" s="719"/>
      <c r="G70" s="854"/>
      <c r="H70" s="720"/>
      <c r="I70" s="726"/>
      <c r="J70" s="857"/>
      <c r="K70" s="727"/>
    </row>
    <row r="71" spans="1:12" ht="12.75" customHeight="1" x14ac:dyDescent="0.2">
      <c r="A71" s="512" t="s">
        <v>415</v>
      </c>
      <c r="B71" s="513"/>
      <c r="C71" s="728" t="s">
        <v>416</v>
      </c>
      <c r="D71" s="858"/>
      <c r="E71" s="729"/>
      <c r="F71" s="540"/>
      <c r="G71" s="859"/>
      <c r="H71" s="541"/>
      <c r="I71" s="728"/>
      <c r="J71" s="858"/>
      <c r="K71" s="729"/>
    </row>
    <row r="72" spans="1:12" ht="12.75" customHeight="1" x14ac:dyDescent="0.2">
      <c r="A72" s="512" t="s">
        <v>417</v>
      </c>
      <c r="B72" s="513"/>
      <c r="C72" s="714" t="s">
        <v>593</v>
      </c>
      <c r="D72" s="848"/>
      <c r="E72" s="715"/>
      <c r="F72" s="514"/>
      <c r="G72" s="849"/>
      <c r="H72" s="581"/>
      <c r="I72" s="714"/>
      <c r="J72" s="848"/>
      <c r="K72" s="715"/>
    </row>
    <row r="73" spans="1:12" ht="12.75" customHeight="1" x14ac:dyDescent="0.2">
      <c r="A73" s="508" t="s">
        <v>418</v>
      </c>
      <c r="B73" s="508"/>
      <c r="C73" s="515" t="str">
        <f>VLOOKUP(C10,'WT (WT)'!$A$8:$K$24,11,0)</f>
        <v>Effective</v>
      </c>
      <c r="D73" s="850"/>
      <c r="E73" s="516"/>
      <c r="F73" s="515"/>
      <c r="G73" s="850"/>
      <c r="H73" s="516"/>
      <c r="I73" s="515"/>
      <c r="J73" s="850"/>
      <c r="K73" s="516"/>
    </row>
    <row r="74" spans="1:12" ht="12.75" customHeight="1" x14ac:dyDescent="0.2">
      <c r="A74" s="508"/>
      <c r="B74" s="508"/>
      <c r="C74" s="517"/>
      <c r="D74" s="851"/>
      <c r="E74" s="518"/>
      <c r="F74" s="517"/>
      <c r="G74" s="851"/>
      <c r="H74" s="518"/>
      <c r="I74" s="517"/>
      <c r="J74" s="851"/>
      <c r="K74" s="518"/>
    </row>
    <row r="75" spans="1:12" ht="12.75" customHeight="1" x14ac:dyDescent="0.2">
      <c r="A75" s="508" t="s">
        <v>419</v>
      </c>
      <c r="B75" s="508"/>
      <c r="C75" s="519" t="s">
        <v>330</v>
      </c>
      <c r="D75" s="860"/>
      <c r="E75" s="520"/>
      <c r="F75" s="519"/>
      <c r="G75" s="860"/>
      <c r="H75" s="520"/>
      <c r="I75" s="519"/>
      <c r="J75" s="860"/>
      <c r="K75" s="520"/>
    </row>
    <row r="76" spans="1:12" ht="12.75" customHeight="1" x14ac:dyDescent="0.2">
      <c r="A76" s="508"/>
      <c r="B76" s="508"/>
      <c r="C76" s="542"/>
      <c r="D76" s="861"/>
      <c r="E76" s="543"/>
      <c r="F76" s="542"/>
      <c r="G76" s="861"/>
      <c r="H76" s="543"/>
      <c r="I76" s="542"/>
      <c r="J76" s="863"/>
      <c r="K76" s="543"/>
    </row>
    <row r="77" spans="1:12" ht="12.75" customHeight="1" x14ac:dyDescent="0.2">
      <c r="A77" s="508"/>
      <c r="B77" s="508"/>
      <c r="C77" s="521"/>
      <c r="D77" s="862"/>
      <c r="E77" s="522"/>
      <c r="F77" s="521"/>
      <c r="G77" s="862"/>
      <c r="H77" s="522"/>
      <c r="I77" s="521"/>
      <c r="J77" s="862"/>
      <c r="K77" s="522"/>
    </row>
    <row r="78" spans="1:12" ht="12.75" customHeight="1" x14ac:dyDescent="0.2">
      <c r="A78" s="280"/>
      <c r="B78" s="280"/>
      <c r="C78" s="271"/>
      <c r="D78" s="271"/>
      <c r="E78" s="271"/>
      <c r="F78" s="271"/>
      <c r="G78" s="271"/>
      <c r="H78" s="271"/>
      <c r="I78" s="281"/>
      <c r="J78" s="271"/>
      <c r="K78" s="271"/>
      <c r="L78" s="271"/>
    </row>
    <row r="79" spans="1:12" ht="12.75" customHeight="1" x14ac:dyDescent="0.2">
      <c r="A79" s="544" t="s">
        <v>420</v>
      </c>
      <c r="B79" s="544" t="s">
        <v>535</v>
      </c>
      <c r="C79" s="544" t="s">
        <v>594</v>
      </c>
      <c r="D79" s="544" t="s">
        <v>595</v>
      </c>
      <c r="E79" s="544" t="s">
        <v>596</v>
      </c>
      <c r="F79" s="544" t="s">
        <v>597</v>
      </c>
      <c r="G79" s="544" t="s">
        <v>598</v>
      </c>
      <c r="H79" s="544" t="s">
        <v>599</v>
      </c>
      <c r="I79" s="544" t="s">
        <v>600</v>
      </c>
      <c r="J79" s="544" t="s">
        <v>601</v>
      </c>
      <c r="K79" s="544" t="s">
        <v>542</v>
      </c>
      <c r="L79" s="271"/>
    </row>
    <row r="80" spans="1:12" ht="12.75" customHeight="1" x14ac:dyDescent="0.2">
      <c r="A80" s="544"/>
      <c r="B80" s="544"/>
      <c r="C80" s="544"/>
      <c r="D80" s="544"/>
      <c r="E80" s="544"/>
      <c r="F80" s="544"/>
      <c r="G80" s="544"/>
      <c r="H80" s="544"/>
      <c r="I80" s="544"/>
      <c r="J80" s="544"/>
      <c r="K80" s="544"/>
      <c r="L80" s="271"/>
    </row>
    <row r="81" spans="1:12" ht="12.75" customHeight="1" x14ac:dyDescent="0.2">
      <c r="A81" s="544"/>
      <c r="B81" s="544"/>
      <c r="C81" s="544"/>
      <c r="D81" s="544"/>
      <c r="E81" s="544"/>
      <c r="F81" s="544"/>
      <c r="G81" s="544"/>
      <c r="H81" s="544"/>
      <c r="I81" s="544"/>
      <c r="J81" s="544"/>
      <c r="K81" s="544"/>
      <c r="L81" s="271"/>
    </row>
    <row r="82" spans="1:12" ht="12.75" customHeight="1" x14ac:dyDescent="0.2">
      <c r="A82" s="544"/>
      <c r="B82" s="544"/>
      <c r="C82" s="544"/>
      <c r="D82" s="544"/>
      <c r="E82" s="544"/>
      <c r="F82" s="544"/>
      <c r="G82" s="544"/>
      <c r="H82" s="544"/>
      <c r="I82" s="544"/>
      <c r="J82" s="544"/>
      <c r="K82" s="544"/>
      <c r="L82" s="271"/>
    </row>
    <row r="83" spans="1:12" ht="12.75" customHeight="1" x14ac:dyDescent="0.2">
      <c r="A83" s="545" t="s">
        <v>428</v>
      </c>
      <c r="B83" s="546"/>
      <c r="C83" s="547"/>
      <c r="D83" s="547"/>
      <c r="E83" s="547"/>
      <c r="F83" s="547"/>
      <c r="G83" s="547"/>
      <c r="H83" s="547"/>
      <c r="I83" s="547"/>
      <c r="J83" s="547"/>
      <c r="K83" s="548"/>
      <c r="L83" s="271"/>
    </row>
    <row r="84" spans="1:12" ht="12.75" customHeight="1" outlineLevel="1" x14ac:dyDescent="0.2">
      <c r="A84" s="646">
        <v>1</v>
      </c>
      <c r="B84" s="803">
        <v>43555</v>
      </c>
      <c r="C84" s="733" t="s">
        <v>602</v>
      </c>
      <c r="D84" s="864">
        <v>1597806.5</v>
      </c>
      <c r="E84" s="733" t="s">
        <v>279</v>
      </c>
      <c r="F84" s="733" t="s">
        <v>279</v>
      </c>
      <c r="G84" s="733" t="s">
        <v>279</v>
      </c>
      <c r="H84" s="733" t="s">
        <v>590</v>
      </c>
      <c r="I84" s="733" t="s">
        <v>519</v>
      </c>
      <c r="J84" s="733" t="s">
        <v>603</v>
      </c>
      <c r="K84" s="867" t="s">
        <v>432</v>
      </c>
      <c r="L84" s="271"/>
    </row>
    <row r="85" spans="1:12" ht="12.75" customHeight="1" outlineLevel="1" x14ac:dyDescent="0.2">
      <c r="A85" s="647"/>
      <c r="B85" s="647"/>
      <c r="C85" s="657"/>
      <c r="D85" s="865"/>
      <c r="E85" s="657"/>
      <c r="F85" s="657"/>
      <c r="G85" s="657"/>
      <c r="H85" s="657"/>
      <c r="I85" s="657"/>
      <c r="J85" s="657"/>
      <c r="K85" s="868"/>
      <c r="L85" s="271"/>
    </row>
    <row r="86" spans="1:12" ht="12.75" customHeight="1" outlineLevel="1" x14ac:dyDescent="0.2">
      <c r="A86" s="647"/>
      <c r="B86" s="647"/>
      <c r="C86" s="657"/>
      <c r="D86" s="865"/>
      <c r="E86" s="657"/>
      <c r="F86" s="657"/>
      <c r="G86" s="657"/>
      <c r="H86" s="657"/>
      <c r="I86" s="657"/>
      <c r="J86" s="657"/>
      <c r="K86" s="868"/>
      <c r="L86" s="271"/>
    </row>
    <row r="87" spans="1:12" ht="12.75" customHeight="1" outlineLevel="1" x14ac:dyDescent="0.2">
      <c r="A87" s="670"/>
      <c r="B87" s="670"/>
      <c r="C87" s="687"/>
      <c r="D87" s="866"/>
      <c r="E87" s="687"/>
      <c r="F87" s="687"/>
      <c r="G87" s="687"/>
      <c r="H87" s="687"/>
      <c r="I87" s="687"/>
      <c r="J87" s="687"/>
      <c r="K87" s="869"/>
      <c r="L87" s="271"/>
    </row>
    <row r="88" spans="1:12" ht="12.75" customHeight="1" outlineLevel="1" x14ac:dyDescent="0.2">
      <c r="A88" s="646">
        <v>2</v>
      </c>
      <c r="B88" s="733">
        <v>43484</v>
      </c>
      <c r="C88" s="870" t="s">
        <v>604</v>
      </c>
      <c r="D88" s="654">
        <v>7415394.4400000004</v>
      </c>
      <c r="E88" s="646" t="s">
        <v>279</v>
      </c>
      <c r="F88" s="646" t="s">
        <v>279</v>
      </c>
      <c r="G88" s="873" t="s">
        <v>279</v>
      </c>
      <c r="H88" s="656" t="s">
        <v>590</v>
      </c>
      <c r="I88" s="656" t="s">
        <v>605</v>
      </c>
      <c r="J88" s="733" t="s">
        <v>606</v>
      </c>
      <c r="K88" s="738"/>
      <c r="L88" s="271"/>
    </row>
    <row r="89" spans="1:12" ht="12.75" customHeight="1" outlineLevel="1" x14ac:dyDescent="0.2">
      <c r="A89" s="647"/>
      <c r="B89" s="657"/>
      <c r="C89" s="871"/>
      <c r="D89" s="647"/>
      <c r="E89" s="647"/>
      <c r="F89" s="647"/>
      <c r="G89" s="874"/>
      <c r="H89" s="647"/>
      <c r="I89" s="647"/>
      <c r="J89" s="657"/>
      <c r="K89" s="739"/>
      <c r="L89" s="271"/>
    </row>
    <row r="90" spans="1:12" ht="12.75" customHeight="1" outlineLevel="1" x14ac:dyDescent="0.2">
      <c r="A90" s="647"/>
      <c r="B90" s="657"/>
      <c r="C90" s="871"/>
      <c r="D90" s="647"/>
      <c r="E90" s="647"/>
      <c r="F90" s="647"/>
      <c r="G90" s="874"/>
      <c r="H90" s="647"/>
      <c r="I90" s="647"/>
      <c r="J90" s="657"/>
      <c r="K90" s="739"/>
      <c r="L90" s="271"/>
    </row>
    <row r="91" spans="1:12" ht="12.75" customHeight="1" outlineLevel="1" x14ac:dyDescent="0.2">
      <c r="A91" s="670"/>
      <c r="B91" s="687"/>
      <c r="C91" s="872"/>
      <c r="D91" s="670"/>
      <c r="E91" s="670"/>
      <c r="F91" s="670"/>
      <c r="G91" s="875"/>
      <c r="H91" s="670"/>
      <c r="I91" s="670"/>
      <c r="J91" s="687"/>
      <c r="K91" s="740"/>
      <c r="L91" s="271"/>
    </row>
    <row r="92" spans="1:12" ht="12.75" customHeight="1" outlineLevel="1" x14ac:dyDescent="0.2">
      <c r="A92" s="646">
        <v>3</v>
      </c>
      <c r="B92" s="733">
        <v>43484</v>
      </c>
      <c r="C92" s="870" t="s">
        <v>607</v>
      </c>
      <c r="D92" s="654">
        <v>943440.52</v>
      </c>
      <c r="E92" s="646" t="s">
        <v>279</v>
      </c>
      <c r="F92" s="646" t="s">
        <v>279</v>
      </c>
      <c r="G92" s="873" t="s">
        <v>279</v>
      </c>
      <c r="H92" s="656" t="s">
        <v>590</v>
      </c>
      <c r="I92" s="656" t="s">
        <v>608</v>
      </c>
      <c r="J92" s="733" t="s">
        <v>606</v>
      </c>
      <c r="K92" s="738"/>
      <c r="L92" s="271"/>
    </row>
    <row r="93" spans="1:12" ht="12.75" customHeight="1" outlineLevel="1" x14ac:dyDescent="0.2">
      <c r="A93" s="647"/>
      <c r="B93" s="657"/>
      <c r="C93" s="871"/>
      <c r="D93" s="647"/>
      <c r="E93" s="647"/>
      <c r="F93" s="647"/>
      <c r="G93" s="874"/>
      <c r="H93" s="647"/>
      <c r="I93" s="647"/>
      <c r="J93" s="657"/>
      <c r="K93" s="739"/>
      <c r="L93" s="271"/>
    </row>
    <row r="94" spans="1:12" ht="12.75" customHeight="1" outlineLevel="1" x14ac:dyDescent="0.2">
      <c r="A94" s="647"/>
      <c r="B94" s="657"/>
      <c r="C94" s="871"/>
      <c r="D94" s="647"/>
      <c r="E94" s="647"/>
      <c r="F94" s="647"/>
      <c r="G94" s="874"/>
      <c r="H94" s="647"/>
      <c r="I94" s="647"/>
      <c r="J94" s="657"/>
      <c r="K94" s="739"/>
      <c r="L94" s="271"/>
    </row>
    <row r="95" spans="1:12" ht="12.75" customHeight="1" outlineLevel="1" x14ac:dyDescent="0.2">
      <c r="A95" s="670"/>
      <c r="B95" s="687"/>
      <c r="C95" s="872"/>
      <c r="D95" s="670"/>
      <c r="E95" s="670"/>
      <c r="F95" s="670"/>
      <c r="G95" s="875"/>
      <c r="H95" s="670"/>
      <c r="I95" s="670"/>
      <c r="J95" s="687"/>
      <c r="K95" s="740"/>
      <c r="L95" s="271"/>
    </row>
    <row r="96" spans="1:12" ht="12.75" customHeight="1" outlineLevel="1" x14ac:dyDescent="0.2">
      <c r="A96" s="646">
        <v>4</v>
      </c>
      <c r="B96" s="733">
        <v>43484</v>
      </c>
      <c r="C96" s="870" t="s">
        <v>609</v>
      </c>
      <c r="D96" s="654">
        <v>470747.99</v>
      </c>
      <c r="E96" s="646" t="s">
        <v>279</v>
      </c>
      <c r="F96" s="646" t="s">
        <v>279</v>
      </c>
      <c r="G96" s="873" t="s">
        <v>279</v>
      </c>
      <c r="H96" s="656" t="s">
        <v>590</v>
      </c>
      <c r="I96" s="656" t="s">
        <v>608</v>
      </c>
      <c r="J96" s="733" t="s">
        <v>610</v>
      </c>
      <c r="K96" s="738"/>
      <c r="L96" s="271"/>
    </row>
    <row r="97" spans="1:12" ht="12.75" customHeight="1" outlineLevel="1" x14ac:dyDescent="0.2">
      <c r="A97" s="647"/>
      <c r="B97" s="657"/>
      <c r="C97" s="871"/>
      <c r="D97" s="647"/>
      <c r="E97" s="647"/>
      <c r="F97" s="647"/>
      <c r="G97" s="874"/>
      <c r="H97" s="647"/>
      <c r="I97" s="647"/>
      <c r="J97" s="657"/>
      <c r="K97" s="739"/>
      <c r="L97" s="271"/>
    </row>
    <row r="98" spans="1:12" ht="12.75" customHeight="1" outlineLevel="1" x14ac:dyDescent="0.2">
      <c r="A98" s="647"/>
      <c r="B98" s="657"/>
      <c r="C98" s="871"/>
      <c r="D98" s="647"/>
      <c r="E98" s="647"/>
      <c r="F98" s="647"/>
      <c r="G98" s="874"/>
      <c r="H98" s="647"/>
      <c r="I98" s="647"/>
      <c r="J98" s="657"/>
      <c r="K98" s="739"/>
      <c r="L98" s="271"/>
    </row>
    <row r="99" spans="1:12" ht="12.75" customHeight="1" outlineLevel="1" x14ac:dyDescent="0.2">
      <c r="A99" s="670"/>
      <c r="B99" s="687"/>
      <c r="C99" s="872"/>
      <c r="D99" s="670"/>
      <c r="E99" s="670"/>
      <c r="F99" s="670"/>
      <c r="G99" s="875"/>
      <c r="H99" s="670"/>
      <c r="I99" s="670"/>
      <c r="J99" s="687"/>
      <c r="K99" s="740"/>
      <c r="L99" s="271"/>
    </row>
    <row r="100" spans="1:12" ht="12.75" customHeight="1" outlineLevel="1" x14ac:dyDescent="0.2">
      <c r="A100" s="646">
        <v>5</v>
      </c>
      <c r="B100" s="733">
        <v>43484</v>
      </c>
      <c r="C100" s="870" t="s">
        <v>611</v>
      </c>
      <c r="D100" s="654">
        <v>1773031.31</v>
      </c>
      <c r="E100" s="646" t="s">
        <v>279</v>
      </c>
      <c r="F100" s="646" t="s">
        <v>279</v>
      </c>
      <c r="G100" s="873" t="s">
        <v>279</v>
      </c>
      <c r="H100" s="656" t="s">
        <v>590</v>
      </c>
      <c r="I100" s="656" t="s">
        <v>608</v>
      </c>
      <c r="J100" s="733" t="s">
        <v>612</v>
      </c>
      <c r="K100" s="738"/>
      <c r="L100" s="271"/>
    </row>
    <row r="101" spans="1:12" ht="12.75" customHeight="1" outlineLevel="1" x14ac:dyDescent="0.2">
      <c r="A101" s="647"/>
      <c r="B101" s="657"/>
      <c r="C101" s="871"/>
      <c r="D101" s="647"/>
      <c r="E101" s="647"/>
      <c r="F101" s="647"/>
      <c r="G101" s="874"/>
      <c r="H101" s="647"/>
      <c r="I101" s="647"/>
      <c r="J101" s="657"/>
      <c r="K101" s="739"/>
      <c r="L101" s="271"/>
    </row>
    <row r="102" spans="1:12" ht="12.75" customHeight="1" outlineLevel="1" x14ac:dyDescent="0.2">
      <c r="A102" s="647"/>
      <c r="B102" s="657"/>
      <c r="C102" s="871"/>
      <c r="D102" s="647"/>
      <c r="E102" s="647"/>
      <c r="F102" s="647"/>
      <c r="G102" s="874"/>
      <c r="H102" s="647"/>
      <c r="I102" s="647"/>
      <c r="J102" s="657"/>
      <c r="K102" s="739"/>
      <c r="L102" s="271"/>
    </row>
    <row r="103" spans="1:12" ht="12.75" customHeight="1" outlineLevel="1" x14ac:dyDescent="0.2">
      <c r="A103" s="647"/>
      <c r="B103" s="657"/>
      <c r="C103" s="871"/>
      <c r="D103" s="647"/>
      <c r="E103" s="647"/>
      <c r="F103" s="647"/>
      <c r="G103" s="874"/>
      <c r="H103" s="647"/>
      <c r="I103" s="647"/>
      <c r="J103" s="657"/>
      <c r="K103" s="739"/>
      <c r="L103" s="271"/>
    </row>
    <row r="104" spans="1:12" ht="12.75" customHeight="1" outlineLevel="1" x14ac:dyDescent="0.2">
      <c r="A104" s="666">
        <v>6</v>
      </c>
      <c r="B104" s="876">
        <v>43515</v>
      </c>
      <c r="C104" s="877" t="s">
        <v>613</v>
      </c>
      <c r="D104" s="664">
        <v>3939665.15</v>
      </c>
      <c r="E104" s="666" t="s">
        <v>279</v>
      </c>
      <c r="F104" s="666" t="s">
        <v>279</v>
      </c>
      <c r="G104" s="878" t="s">
        <v>279</v>
      </c>
      <c r="H104" s="665" t="s">
        <v>590</v>
      </c>
      <c r="I104" s="665" t="s">
        <v>608</v>
      </c>
      <c r="J104" s="876" t="s">
        <v>614</v>
      </c>
      <c r="K104" s="668"/>
      <c r="L104" s="271"/>
    </row>
    <row r="105" spans="1:12" ht="12.75" customHeight="1" outlineLevel="1" x14ac:dyDescent="0.2">
      <c r="A105" s="666"/>
      <c r="B105" s="665"/>
      <c r="C105" s="877"/>
      <c r="D105" s="666"/>
      <c r="E105" s="666"/>
      <c r="F105" s="666"/>
      <c r="G105" s="878"/>
      <c r="H105" s="666"/>
      <c r="I105" s="666"/>
      <c r="J105" s="665"/>
      <c r="K105" s="668"/>
      <c r="L105" s="271"/>
    </row>
    <row r="106" spans="1:12" ht="12.75" customHeight="1" outlineLevel="1" x14ac:dyDescent="0.2">
      <c r="A106" s="666"/>
      <c r="B106" s="665"/>
      <c r="C106" s="877"/>
      <c r="D106" s="666"/>
      <c r="E106" s="666"/>
      <c r="F106" s="666"/>
      <c r="G106" s="878"/>
      <c r="H106" s="666"/>
      <c r="I106" s="666"/>
      <c r="J106" s="665"/>
      <c r="K106" s="668"/>
      <c r="L106" s="271"/>
    </row>
    <row r="107" spans="1:12" ht="12.75" customHeight="1" outlineLevel="1" x14ac:dyDescent="0.2">
      <c r="A107" s="666"/>
      <c r="B107" s="665"/>
      <c r="C107" s="877"/>
      <c r="D107" s="666"/>
      <c r="E107" s="666"/>
      <c r="F107" s="666"/>
      <c r="G107" s="878"/>
      <c r="H107" s="666"/>
      <c r="I107" s="666"/>
      <c r="J107" s="665"/>
      <c r="K107" s="668"/>
      <c r="L107" s="271"/>
    </row>
    <row r="108" spans="1:12" ht="12.75" customHeight="1" outlineLevel="1" x14ac:dyDescent="0.2">
      <c r="A108" s="666">
        <v>7</v>
      </c>
      <c r="B108" s="876">
        <v>43515</v>
      </c>
      <c r="C108" s="877" t="s">
        <v>615</v>
      </c>
      <c r="D108" s="664">
        <v>275569.67</v>
      </c>
      <c r="E108" s="666" t="s">
        <v>279</v>
      </c>
      <c r="F108" s="666" t="s">
        <v>279</v>
      </c>
      <c r="G108" s="878" t="s">
        <v>279</v>
      </c>
      <c r="H108" s="665" t="s">
        <v>590</v>
      </c>
      <c r="I108" s="665" t="s">
        <v>608</v>
      </c>
      <c r="J108" s="876" t="s">
        <v>614</v>
      </c>
      <c r="K108" s="668"/>
      <c r="L108" s="271"/>
    </row>
    <row r="109" spans="1:12" ht="12.75" customHeight="1" outlineLevel="1" x14ac:dyDescent="0.2">
      <c r="A109" s="666"/>
      <c r="B109" s="665"/>
      <c r="C109" s="877"/>
      <c r="D109" s="666"/>
      <c r="E109" s="666"/>
      <c r="F109" s="666"/>
      <c r="G109" s="878"/>
      <c r="H109" s="666"/>
      <c r="I109" s="666"/>
      <c r="J109" s="665"/>
      <c r="K109" s="668"/>
      <c r="L109" s="271"/>
    </row>
    <row r="110" spans="1:12" ht="12.75" customHeight="1" outlineLevel="1" x14ac:dyDescent="0.2">
      <c r="A110" s="666"/>
      <c r="B110" s="665"/>
      <c r="C110" s="877"/>
      <c r="D110" s="666"/>
      <c r="E110" s="666"/>
      <c r="F110" s="666"/>
      <c r="G110" s="878"/>
      <c r="H110" s="666"/>
      <c r="I110" s="666"/>
      <c r="J110" s="665"/>
      <c r="K110" s="668"/>
      <c r="L110" s="271"/>
    </row>
    <row r="111" spans="1:12" ht="12.75" customHeight="1" outlineLevel="1" x14ac:dyDescent="0.2">
      <c r="A111" s="666"/>
      <c r="B111" s="665"/>
      <c r="C111" s="877"/>
      <c r="D111" s="666"/>
      <c r="E111" s="666"/>
      <c r="F111" s="666"/>
      <c r="G111" s="878"/>
      <c r="H111" s="666"/>
      <c r="I111" s="666"/>
      <c r="J111" s="665"/>
      <c r="K111" s="668"/>
      <c r="L111" s="271"/>
    </row>
    <row r="112" spans="1:12" ht="12.75" customHeight="1" outlineLevel="1" x14ac:dyDescent="0.2">
      <c r="A112" s="666">
        <v>8</v>
      </c>
      <c r="B112" s="876">
        <v>43515</v>
      </c>
      <c r="C112" s="877" t="s">
        <v>616</v>
      </c>
      <c r="D112" s="664">
        <v>30593.87</v>
      </c>
      <c r="E112" s="666" t="s">
        <v>279</v>
      </c>
      <c r="F112" s="666" t="s">
        <v>279</v>
      </c>
      <c r="G112" s="666" t="s">
        <v>279</v>
      </c>
      <c r="H112" s="665" t="s">
        <v>590</v>
      </c>
      <c r="I112" s="665" t="s">
        <v>605</v>
      </c>
      <c r="J112" s="876" t="s">
        <v>617</v>
      </c>
      <c r="K112" s="668"/>
      <c r="L112" s="271"/>
    </row>
    <row r="113" spans="1:12" ht="12.75" customHeight="1" outlineLevel="1" x14ac:dyDescent="0.2">
      <c r="A113" s="666"/>
      <c r="B113" s="665"/>
      <c r="C113" s="877"/>
      <c r="D113" s="666"/>
      <c r="E113" s="666"/>
      <c r="F113" s="666"/>
      <c r="G113" s="666"/>
      <c r="H113" s="666"/>
      <c r="I113" s="666"/>
      <c r="J113" s="665"/>
      <c r="K113" s="668"/>
      <c r="L113" s="271"/>
    </row>
    <row r="114" spans="1:12" ht="12.75" customHeight="1" outlineLevel="1" x14ac:dyDescent="0.2">
      <c r="A114" s="666"/>
      <c r="B114" s="665"/>
      <c r="C114" s="877"/>
      <c r="D114" s="666"/>
      <c r="E114" s="666"/>
      <c r="F114" s="666"/>
      <c r="G114" s="666"/>
      <c r="H114" s="666"/>
      <c r="I114" s="666"/>
      <c r="J114" s="665"/>
      <c r="K114" s="668"/>
      <c r="L114" s="271"/>
    </row>
    <row r="115" spans="1:12" ht="12.75" customHeight="1" outlineLevel="1" x14ac:dyDescent="0.2">
      <c r="A115" s="666"/>
      <c r="B115" s="665"/>
      <c r="C115" s="877"/>
      <c r="D115" s="666"/>
      <c r="E115" s="666"/>
      <c r="F115" s="666"/>
      <c r="G115" s="666"/>
      <c r="H115" s="666"/>
      <c r="I115" s="666"/>
      <c r="J115" s="665"/>
      <c r="K115" s="668"/>
      <c r="L115" s="271"/>
    </row>
    <row r="116" spans="1:12" ht="12.75" customHeight="1" outlineLevel="1" x14ac:dyDescent="0.2">
      <c r="A116" s="647">
        <v>9</v>
      </c>
      <c r="B116" s="733">
        <v>43543</v>
      </c>
      <c r="C116" s="871" t="s">
        <v>618</v>
      </c>
      <c r="D116" s="879">
        <v>20652805.789999999</v>
      </c>
      <c r="E116" s="666" t="s">
        <v>279</v>
      </c>
      <c r="F116" s="666" t="s">
        <v>279</v>
      </c>
      <c r="G116" s="666" t="s">
        <v>279</v>
      </c>
      <c r="H116" s="665" t="s">
        <v>590</v>
      </c>
      <c r="I116" s="665" t="s">
        <v>619</v>
      </c>
      <c r="J116" s="665" t="s">
        <v>620</v>
      </c>
      <c r="K116" s="739"/>
      <c r="L116" s="271"/>
    </row>
    <row r="117" spans="1:12" ht="12.75" customHeight="1" outlineLevel="1" x14ac:dyDescent="0.2">
      <c r="A117" s="647"/>
      <c r="B117" s="657"/>
      <c r="C117" s="871"/>
      <c r="D117" s="879"/>
      <c r="E117" s="666"/>
      <c r="F117" s="666"/>
      <c r="G117" s="666"/>
      <c r="H117" s="666"/>
      <c r="I117" s="666"/>
      <c r="J117" s="666"/>
      <c r="K117" s="739"/>
      <c r="L117" s="271"/>
    </row>
    <row r="118" spans="1:12" ht="12.75" customHeight="1" outlineLevel="1" x14ac:dyDescent="0.2">
      <c r="A118" s="647"/>
      <c r="B118" s="657"/>
      <c r="C118" s="871"/>
      <c r="D118" s="879"/>
      <c r="E118" s="666"/>
      <c r="F118" s="666"/>
      <c r="G118" s="666"/>
      <c r="H118" s="666"/>
      <c r="I118" s="666"/>
      <c r="J118" s="666"/>
      <c r="K118" s="739"/>
      <c r="L118" s="271"/>
    </row>
    <row r="119" spans="1:12" ht="12.75" customHeight="1" outlineLevel="1" x14ac:dyDescent="0.2">
      <c r="A119" s="670"/>
      <c r="B119" s="687"/>
      <c r="C119" s="872"/>
      <c r="D119" s="880"/>
      <c r="E119" s="666"/>
      <c r="F119" s="666"/>
      <c r="G119" s="666"/>
      <c r="H119" s="666"/>
      <c r="I119" s="666"/>
      <c r="J119" s="666"/>
      <c r="K119" s="740"/>
      <c r="L119" s="271"/>
    </row>
    <row r="120" spans="1:12" ht="12.75" customHeight="1" outlineLevel="1" x14ac:dyDescent="0.2">
      <c r="A120" s="646">
        <v>10</v>
      </c>
      <c r="B120" s="733">
        <v>43543</v>
      </c>
      <c r="C120" s="870" t="s">
        <v>621</v>
      </c>
      <c r="D120" s="654">
        <v>1010648.3</v>
      </c>
      <c r="E120" s="646" t="s">
        <v>279</v>
      </c>
      <c r="F120" s="646" t="s">
        <v>279</v>
      </c>
      <c r="G120" s="873" t="s">
        <v>279</v>
      </c>
      <c r="H120" s="656" t="s">
        <v>590</v>
      </c>
      <c r="I120" s="656" t="s">
        <v>519</v>
      </c>
      <c r="J120" s="733" t="s">
        <v>603</v>
      </c>
      <c r="K120" s="738"/>
      <c r="L120" s="271"/>
    </row>
    <row r="121" spans="1:12" ht="12.75" customHeight="1" outlineLevel="1" x14ac:dyDescent="0.2">
      <c r="A121" s="647"/>
      <c r="B121" s="657"/>
      <c r="C121" s="871"/>
      <c r="D121" s="647"/>
      <c r="E121" s="647"/>
      <c r="F121" s="647"/>
      <c r="G121" s="874"/>
      <c r="H121" s="647"/>
      <c r="I121" s="647"/>
      <c r="J121" s="657"/>
      <c r="K121" s="739"/>
      <c r="L121" s="271"/>
    </row>
    <row r="122" spans="1:12" ht="12.75" customHeight="1" outlineLevel="1" x14ac:dyDescent="0.2">
      <c r="A122" s="647"/>
      <c r="B122" s="657"/>
      <c r="C122" s="871"/>
      <c r="D122" s="647"/>
      <c r="E122" s="647"/>
      <c r="F122" s="647"/>
      <c r="G122" s="874"/>
      <c r="H122" s="647"/>
      <c r="I122" s="647"/>
      <c r="J122" s="657"/>
      <c r="K122" s="739"/>
      <c r="L122" s="271"/>
    </row>
    <row r="123" spans="1:12" ht="12.75" customHeight="1" outlineLevel="1" x14ac:dyDescent="0.2">
      <c r="A123" s="670"/>
      <c r="B123" s="687"/>
      <c r="C123" s="872"/>
      <c r="D123" s="670"/>
      <c r="E123" s="670"/>
      <c r="F123" s="670"/>
      <c r="G123" s="875"/>
      <c r="H123" s="670"/>
      <c r="I123" s="670"/>
      <c r="J123" s="687"/>
      <c r="K123" s="740"/>
      <c r="L123" s="271"/>
    </row>
    <row r="124" spans="1:12" ht="12.75" customHeight="1" outlineLevel="1" x14ac:dyDescent="0.2">
      <c r="A124" s="646">
        <v>11</v>
      </c>
      <c r="B124" s="733">
        <v>43543</v>
      </c>
      <c r="C124" s="870" t="s">
        <v>622</v>
      </c>
      <c r="D124" s="654">
        <v>10286668.810000001</v>
      </c>
      <c r="E124" s="646" t="s">
        <v>279</v>
      </c>
      <c r="F124" s="646" t="s">
        <v>279</v>
      </c>
      <c r="G124" s="873" t="s">
        <v>279</v>
      </c>
      <c r="H124" s="656" t="s">
        <v>590</v>
      </c>
      <c r="I124" s="656" t="s">
        <v>623</v>
      </c>
      <c r="J124" s="733" t="s">
        <v>624</v>
      </c>
      <c r="K124" s="738"/>
      <c r="L124" s="271"/>
    </row>
    <row r="125" spans="1:12" ht="12.75" customHeight="1" outlineLevel="1" x14ac:dyDescent="0.2">
      <c r="A125" s="647"/>
      <c r="B125" s="657"/>
      <c r="C125" s="871"/>
      <c r="D125" s="647"/>
      <c r="E125" s="647"/>
      <c r="F125" s="647"/>
      <c r="G125" s="874"/>
      <c r="H125" s="647"/>
      <c r="I125" s="647"/>
      <c r="J125" s="657"/>
      <c r="K125" s="739"/>
      <c r="L125" s="271"/>
    </row>
    <row r="126" spans="1:12" ht="12.75" customHeight="1" outlineLevel="1" x14ac:dyDescent="0.2">
      <c r="A126" s="647"/>
      <c r="B126" s="657"/>
      <c r="C126" s="871"/>
      <c r="D126" s="647"/>
      <c r="E126" s="647"/>
      <c r="F126" s="647"/>
      <c r="G126" s="874"/>
      <c r="H126" s="647"/>
      <c r="I126" s="647"/>
      <c r="J126" s="657"/>
      <c r="K126" s="739"/>
      <c r="L126" s="271"/>
    </row>
    <row r="127" spans="1:12" ht="12.75" customHeight="1" outlineLevel="1" x14ac:dyDescent="0.2">
      <c r="A127" s="670"/>
      <c r="B127" s="687"/>
      <c r="C127" s="872"/>
      <c r="D127" s="670"/>
      <c r="E127" s="670"/>
      <c r="F127" s="670"/>
      <c r="G127" s="875"/>
      <c r="H127" s="670"/>
      <c r="I127" s="670"/>
      <c r="J127" s="687"/>
      <c r="K127" s="740"/>
      <c r="L127" s="271"/>
    </row>
    <row r="128" spans="1:12" ht="12.75" customHeight="1" outlineLevel="1" x14ac:dyDescent="0.2">
      <c r="A128" s="646">
        <v>12</v>
      </c>
      <c r="B128" s="733">
        <v>43543</v>
      </c>
      <c r="C128" s="870" t="s">
        <v>625</v>
      </c>
      <c r="D128" s="654">
        <v>11491121.810000001</v>
      </c>
      <c r="E128" s="646" t="s">
        <v>279</v>
      </c>
      <c r="F128" s="646" t="s">
        <v>279</v>
      </c>
      <c r="G128" s="873" t="s">
        <v>281</v>
      </c>
      <c r="H128" s="885">
        <v>254703.25</v>
      </c>
      <c r="I128" s="656" t="s">
        <v>519</v>
      </c>
      <c r="J128" s="733" t="s">
        <v>624</v>
      </c>
      <c r="K128" s="738"/>
      <c r="L128" s="271"/>
    </row>
    <row r="129" spans="1:12" ht="12.75" customHeight="1" outlineLevel="1" x14ac:dyDescent="0.2">
      <c r="A129" s="647"/>
      <c r="B129" s="657"/>
      <c r="C129" s="871"/>
      <c r="D129" s="647"/>
      <c r="E129" s="647"/>
      <c r="F129" s="647"/>
      <c r="G129" s="874"/>
      <c r="H129" s="647"/>
      <c r="I129" s="647"/>
      <c r="J129" s="657"/>
      <c r="K129" s="739"/>
      <c r="L129" s="271"/>
    </row>
    <row r="130" spans="1:12" ht="12.75" customHeight="1" outlineLevel="1" x14ac:dyDescent="0.2">
      <c r="A130" s="647"/>
      <c r="B130" s="657"/>
      <c r="C130" s="871"/>
      <c r="D130" s="647"/>
      <c r="E130" s="647"/>
      <c r="F130" s="647"/>
      <c r="G130" s="874"/>
      <c r="H130" s="647"/>
      <c r="I130" s="647"/>
      <c r="J130" s="657"/>
      <c r="K130" s="739"/>
      <c r="L130" s="271"/>
    </row>
    <row r="131" spans="1:12" ht="12.75" customHeight="1" outlineLevel="1" x14ac:dyDescent="0.2">
      <c r="A131" s="647"/>
      <c r="B131" s="657"/>
      <c r="C131" s="871"/>
      <c r="D131" s="647"/>
      <c r="E131" s="647"/>
      <c r="F131" s="647"/>
      <c r="G131" s="874"/>
      <c r="H131" s="647"/>
      <c r="I131" s="647"/>
      <c r="J131" s="657"/>
      <c r="K131" s="739"/>
      <c r="L131" s="271"/>
    </row>
    <row r="132" spans="1:12" ht="12.75" customHeight="1" outlineLevel="1" x14ac:dyDescent="0.2">
      <c r="A132" s="666">
        <v>13</v>
      </c>
      <c r="B132" s="876">
        <v>43574</v>
      </c>
      <c r="C132" s="877" t="s">
        <v>626</v>
      </c>
      <c r="D132" s="882">
        <v>3751805.93</v>
      </c>
      <c r="E132" s="666" t="s">
        <v>279</v>
      </c>
      <c r="F132" s="666" t="s">
        <v>279</v>
      </c>
      <c r="G132" s="666" t="s">
        <v>279</v>
      </c>
      <c r="H132" s="665" t="s">
        <v>590</v>
      </c>
      <c r="I132" s="665" t="s">
        <v>623</v>
      </c>
      <c r="J132" s="876" t="s">
        <v>627</v>
      </c>
      <c r="K132" s="668"/>
      <c r="L132" s="271"/>
    </row>
    <row r="133" spans="1:12" ht="12.75" customHeight="1" outlineLevel="1" x14ac:dyDescent="0.2">
      <c r="A133" s="666"/>
      <c r="B133" s="665"/>
      <c r="C133" s="877"/>
      <c r="D133" s="882"/>
      <c r="E133" s="666"/>
      <c r="F133" s="666"/>
      <c r="G133" s="666"/>
      <c r="H133" s="666"/>
      <c r="I133" s="666"/>
      <c r="J133" s="665"/>
      <c r="K133" s="668"/>
      <c r="L133" s="271"/>
    </row>
    <row r="134" spans="1:12" ht="12.75" customHeight="1" outlineLevel="1" x14ac:dyDescent="0.2">
      <c r="A134" s="666"/>
      <c r="B134" s="665"/>
      <c r="C134" s="877"/>
      <c r="D134" s="882"/>
      <c r="E134" s="666"/>
      <c r="F134" s="666"/>
      <c r="G134" s="666"/>
      <c r="H134" s="666"/>
      <c r="I134" s="666"/>
      <c r="J134" s="665"/>
      <c r="K134" s="668"/>
      <c r="L134" s="271"/>
    </row>
    <row r="135" spans="1:12" ht="12.75" customHeight="1" outlineLevel="1" x14ac:dyDescent="0.2">
      <c r="A135" s="679"/>
      <c r="B135" s="672"/>
      <c r="C135" s="881"/>
      <c r="D135" s="883"/>
      <c r="E135" s="679"/>
      <c r="F135" s="679"/>
      <c r="G135" s="679"/>
      <c r="H135" s="679"/>
      <c r="I135" s="679"/>
      <c r="J135" s="672"/>
      <c r="K135" s="884"/>
      <c r="L135" s="271"/>
    </row>
    <row r="136" spans="1:12" ht="12.75" customHeight="1" outlineLevel="1" x14ac:dyDescent="0.2">
      <c r="A136" s="666">
        <v>14</v>
      </c>
      <c r="B136" s="876">
        <v>43574</v>
      </c>
      <c r="C136" s="877" t="s">
        <v>628</v>
      </c>
      <c r="D136" s="664">
        <v>7461383.2000000002</v>
      </c>
      <c r="E136" s="666" t="s">
        <v>279</v>
      </c>
      <c r="F136" s="666" t="s">
        <v>279</v>
      </c>
      <c r="G136" s="878" t="s">
        <v>279</v>
      </c>
      <c r="H136" s="665" t="s">
        <v>590</v>
      </c>
      <c r="I136" s="665" t="s">
        <v>619</v>
      </c>
      <c r="J136" s="665" t="s">
        <v>620</v>
      </c>
      <c r="K136" s="668"/>
      <c r="L136" s="271"/>
    </row>
    <row r="137" spans="1:12" ht="12.75" customHeight="1" outlineLevel="1" x14ac:dyDescent="0.2">
      <c r="A137" s="666"/>
      <c r="B137" s="665"/>
      <c r="C137" s="877"/>
      <c r="D137" s="666"/>
      <c r="E137" s="666"/>
      <c r="F137" s="666"/>
      <c r="G137" s="878"/>
      <c r="H137" s="666"/>
      <c r="I137" s="666"/>
      <c r="J137" s="666"/>
      <c r="K137" s="668"/>
      <c r="L137" s="271"/>
    </row>
    <row r="138" spans="1:12" ht="12.75" customHeight="1" outlineLevel="1" x14ac:dyDescent="0.2">
      <c r="A138" s="666"/>
      <c r="B138" s="665"/>
      <c r="C138" s="877"/>
      <c r="D138" s="666"/>
      <c r="E138" s="666"/>
      <c r="F138" s="666"/>
      <c r="G138" s="878"/>
      <c r="H138" s="666"/>
      <c r="I138" s="666"/>
      <c r="J138" s="666"/>
      <c r="K138" s="668"/>
      <c r="L138" s="271"/>
    </row>
    <row r="139" spans="1:12" ht="12.75" customHeight="1" outlineLevel="1" x14ac:dyDescent="0.2">
      <c r="A139" s="666"/>
      <c r="B139" s="665"/>
      <c r="C139" s="877"/>
      <c r="D139" s="666"/>
      <c r="E139" s="666"/>
      <c r="F139" s="666"/>
      <c r="G139" s="878"/>
      <c r="H139" s="666"/>
      <c r="I139" s="666"/>
      <c r="J139" s="666"/>
      <c r="K139" s="668"/>
      <c r="L139" s="271"/>
    </row>
    <row r="140" spans="1:12" ht="12.75" customHeight="1" outlineLevel="1" x14ac:dyDescent="0.2">
      <c r="A140" s="685">
        <v>15</v>
      </c>
      <c r="B140" s="886">
        <v>43635</v>
      </c>
      <c r="C140" s="887" t="s">
        <v>629</v>
      </c>
      <c r="D140" s="684">
        <v>56000000</v>
      </c>
      <c r="E140" s="685" t="s">
        <v>279</v>
      </c>
      <c r="F140" s="685" t="s">
        <v>279</v>
      </c>
      <c r="G140" s="888" t="s">
        <v>279</v>
      </c>
      <c r="H140" s="674" t="s">
        <v>590</v>
      </c>
      <c r="I140" s="674" t="s">
        <v>519</v>
      </c>
      <c r="J140" s="886" t="s">
        <v>630</v>
      </c>
      <c r="K140" s="889"/>
      <c r="L140" s="271"/>
    </row>
    <row r="141" spans="1:12" ht="12.75" customHeight="1" outlineLevel="1" x14ac:dyDescent="0.2">
      <c r="A141" s="666"/>
      <c r="B141" s="665"/>
      <c r="C141" s="877"/>
      <c r="D141" s="666"/>
      <c r="E141" s="666"/>
      <c r="F141" s="666"/>
      <c r="G141" s="878"/>
      <c r="H141" s="666"/>
      <c r="I141" s="666"/>
      <c r="J141" s="665"/>
      <c r="K141" s="668"/>
      <c r="L141" s="271"/>
    </row>
    <row r="142" spans="1:12" ht="12.75" customHeight="1" outlineLevel="1" x14ac:dyDescent="0.2">
      <c r="A142" s="666"/>
      <c r="B142" s="665"/>
      <c r="C142" s="877"/>
      <c r="D142" s="666"/>
      <c r="E142" s="666"/>
      <c r="F142" s="666"/>
      <c r="G142" s="878"/>
      <c r="H142" s="666"/>
      <c r="I142" s="666"/>
      <c r="J142" s="665"/>
      <c r="K142" s="668"/>
      <c r="L142" s="271"/>
    </row>
    <row r="143" spans="1:12" ht="12.75" customHeight="1" outlineLevel="1" x14ac:dyDescent="0.2">
      <c r="A143" s="666"/>
      <c r="B143" s="665"/>
      <c r="C143" s="877"/>
      <c r="D143" s="666"/>
      <c r="E143" s="666"/>
      <c r="F143" s="666"/>
      <c r="G143" s="878"/>
      <c r="H143" s="666"/>
      <c r="I143" s="666"/>
      <c r="J143" s="665"/>
      <c r="K143" s="668"/>
      <c r="L143" s="271"/>
    </row>
    <row r="144" spans="1:12" ht="12.75" customHeight="1" outlineLevel="1" x14ac:dyDescent="0.2">
      <c r="A144" s="647">
        <v>16</v>
      </c>
      <c r="B144" s="890">
        <v>43604</v>
      </c>
      <c r="C144" s="871" t="s">
        <v>631</v>
      </c>
      <c r="D144" s="655">
        <v>8800155.5600000005</v>
      </c>
      <c r="E144" s="647" t="s">
        <v>279</v>
      </c>
      <c r="F144" s="647" t="s">
        <v>279</v>
      </c>
      <c r="G144" s="874" t="s">
        <v>279</v>
      </c>
      <c r="H144" s="657" t="s">
        <v>590</v>
      </c>
      <c r="I144" s="657" t="s">
        <v>519</v>
      </c>
      <c r="J144" s="890" t="s">
        <v>632</v>
      </c>
      <c r="K144" s="739"/>
      <c r="L144" s="271"/>
    </row>
    <row r="145" spans="1:12" ht="12.75" customHeight="1" outlineLevel="1" x14ac:dyDescent="0.2">
      <c r="A145" s="647"/>
      <c r="B145" s="657"/>
      <c r="C145" s="871"/>
      <c r="D145" s="647"/>
      <c r="E145" s="647"/>
      <c r="F145" s="647"/>
      <c r="G145" s="874"/>
      <c r="H145" s="647"/>
      <c r="I145" s="647"/>
      <c r="J145" s="657"/>
      <c r="K145" s="739"/>
      <c r="L145" s="271"/>
    </row>
    <row r="146" spans="1:12" ht="12.75" customHeight="1" outlineLevel="1" x14ac:dyDescent="0.2">
      <c r="A146" s="647"/>
      <c r="B146" s="657"/>
      <c r="C146" s="871"/>
      <c r="D146" s="647"/>
      <c r="E146" s="647"/>
      <c r="F146" s="647"/>
      <c r="G146" s="874"/>
      <c r="H146" s="647"/>
      <c r="I146" s="647"/>
      <c r="J146" s="657"/>
      <c r="K146" s="739"/>
      <c r="L146" s="271"/>
    </row>
    <row r="147" spans="1:12" ht="12.75" customHeight="1" outlineLevel="1" x14ac:dyDescent="0.2">
      <c r="A147" s="670"/>
      <c r="B147" s="687"/>
      <c r="C147" s="872"/>
      <c r="D147" s="670"/>
      <c r="E147" s="670"/>
      <c r="F147" s="670"/>
      <c r="G147" s="875"/>
      <c r="H147" s="670"/>
      <c r="I147" s="670"/>
      <c r="J147" s="687"/>
      <c r="K147" s="740"/>
      <c r="L147" s="271"/>
    </row>
    <row r="148" spans="1:12" ht="12.75" customHeight="1" outlineLevel="1" x14ac:dyDescent="0.2">
      <c r="A148" s="646">
        <v>17</v>
      </c>
      <c r="B148" s="733">
        <v>43604</v>
      </c>
      <c r="C148" s="870" t="s">
        <v>633</v>
      </c>
      <c r="D148" s="654">
        <v>203780.61</v>
      </c>
      <c r="E148" s="646" t="s">
        <v>279</v>
      </c>
      <c r="F148" s="646" t="s">
        <v>279</v>
      </c>
      <c r="G148" s="873" t="s">
        <v>279</v>
      </c>
      <c r="H148" s="656" t="s">
        <v>590</v>
      </c>
      <c r="I148" s="656" t="s">
        <v>519</v>
      </c>
      <c r="J148" s="733" t="s">
        <v>634</v>
      </c>
      <c r="K148" s="738"/>
      <c r="L148" s="271"/>
    </row>
    <row r="149" spans="1:12" ht="12.75" customHeight="1" outlineLevel="1" x14ac:dyDescent="0.2">
      <c r="A149" s="647"/>
      <c r="B149" s="657"/>
      <c r="C149" s="871"/>
      <c r="D149" s="647"/>
      <c r="E149" s="647"/>
      <c r="F149" s="647"/>
      <c r="G149" s="874"/>
      <c r="H149" s="647"/>
      <c r="I149" s="647"/>
      <c r="J149" s="657"/>
      <c r="K149" s="739"/>
      <c r="L149" s="271"/>
    </row>
    <row r="150" spans="1:12" ht="12.75" customHeight="1" outlineLevel="1" x14ac:dyDescent="0.2">
      <c r="A150" s="647"/>
      <c r="B150" s="657"/>
      <c r="C150" s="871"/>
      <c r="D150" s="647"/>
      <c r="E150" s="647"/>
      <c r="F150" s="647"/>
      <c r="G150" s="874"/>
      <c r="H150" s="647"/>
      <c r="I150" s="647"/>
      <c r="J150" s="657"/>
      <c r="K150" s="739"/>
      <c r="L150" s="271"/>
    </row>
    <row r="151" spans="1:12" ht="12.75" customHeight="1" outlineLevel="1" x14ac:dyDescent="0.2">
      <c r="A151" s="670"/>
      <c r="B151" s="687"/>
      <c r="C151" s="872"/>
      <c r="D151" s="670"/>
      <c r="E151" s="670"/>
      <c r="F151" s="670"/>
      <c r="G151" s="875"/>
      <c r="H151" s="670"/>
      <c r="I151" s="670"/>
      <c r="J151" s="687"/>
      <c r="K151" s="740"/>
      <c r="L151" s="271"/>
    </row>
    <row r="152" spans="1:12" ht="12.75" customHeight="1" outlineLevel="1" x14ac:dyDescent="0.2">
      <c r="A152" s="646">
        <v>18</v>
      </c>
      <c r="B152" s="733">
        <v>43635</v>
      </c>
      <c r="C152" s="870" t="s">
        <v>635</v>
      </c>
      <c r="D152" s="654">
        <v>35320502.710000001</v>
      </c>
      <c r="E152" s="646" t="s">
        <v>279</v>
      </c>
      <c r="F152" s="646" t="s">
        <v>279</v>
      </c>
      <c r="G152" s="873" t="s">
        <v>279</v>
      </c>
      <c r="H152" s="656" t="s">
        <v>636</v>
      </c>
      <c r="I152" s="656" t="s">
        <v>619</v>
      </c>
      <c r="J152" s="733" t="s">
        <v>637</v>
      </c>
      <c r="K152" s="738"/>
      <c r="L152" s="271"/>
    </row>
    <row r="153" spans="1:12" ht="12.75" customHeight="1" outlineLevel="1" x14ac:dyDescent="0.2">
      <c r="A153" s="647"/>
      <c r="B153" s="657"/>
      <c r="C153" s="871"/>
      <c r="D153" s="647"/>
      <c r="E153" s="647"/>
      <c r="F153" s="647"/>
      <c r="G153" s="874"/>
      <c r="H153" s="647"/>
      <c r="I153" s="647"/>
      <c r="J153" s="657"/>
      <c r="K153" s="739"/>
      <c r="L153" s="271"/>
    </row>
    <row r="154" spans="1:12" ht="12.75" customHeight="1" outlineLevel="1" x14ac:dyDescent="0.2">
      <c r="A154" s="647"/>
      <c r="B154" s="657"/>
      <c r="C154" s="871"/>
      <c r="D154" s="647"/>
      <c r="E154" s="647"/>
      <c r="F154" s="647"/>
      <c r="G154" s="874"/>
      <c r="H154" s="647"/>
      <c r="I154" s="647"/>
      <c r="J154" s="657"/>
      <c r="K154" s="739"/>
      <c r="L154" s="271"/>
    </row>
    <row r="155" spans="1:12" ht="12.75" customHeight="1" outlineLevel="1" x14ac:dyDescent="0.2">
      <c r="A155" s="670"/>
      <c r="B155" s="687"/>
      <c r="C155" s="872"/>
      <c r="D155" s="670"/>
      <c r="E155" s="670"/>
      <c r="F155" s="670"/>
      <c r="G155" s="875"/>
      <c r="H155" s="670"/>
      <c r="I155" s="670"/>
      <c r="J155" s="687"/>
      <c r="K155" s="740"/>
      <c r="L155" s="271"/>
    </row>
    <row r="156" spans="1:12" ht="12.75" customHeight="1" outlineLevel="1" x14ac:dyDescent="0.2">
      <c r="A156" s="646">
        <v>19</v>
      </c>
      <c r="B156" s="733">
        <v>43635</v>
      </c>
      <c r="C156" s="870" t="s">
        <v>638</v>
      </c>
      <c r="D156" s="654">
        <v>18942192.809999999</v>
      </c>
      <c r="E156" s="646" t="s">
        <v>279</v>
      </c>
      <c r="F156" s="646" t="s">
        <v>279</v>
      </c>
      <c r="G156" s="873" t="s">
        <v>279</v>
      </c>
      <c r="H156" s="656" t="s">
        <v>590</v>
      </c>
      <c r="I156" s="656" t="s">
        <v>623</v>
      </c>
      <c r="J156" s="733" t="s">
        <v>627</v>
      </c>
      <c r="K156" s="738"/>
      <c r="L156" s="271"/>
    </row>
    <row r="157" spans="1:12" ht="12.75" customHeight="1" outlineLevel="1" x14ac:dyDescent="0.2">
      <c r="A157" s="647"/>
      <c r="B157" s="890"/>
      <c r="C157" s="871"/>
      <c r="D157" s="647"/>
      <c r="E157" s="647"/>
      <c r="F157" s="647"/>
      <c r="G157" s="874"/>
      <c r="H157" s="657"/>
      <c r="I157" s="657"/>
      <c r="J157" s="657"/>
      <c r="K157" s="739"/>
      <c r="L157" s="271"/>
    </row>
    <row r="158" spans="1:12" ht="12.75" customHeight="1" outlineLevel="1" x14ac:dyDescent="0.2">
      <c r="A158" s="647"/>
      <c r="B158" s="890"/>
      <c r="C158" s="871"/>
      <c r="D158" s="647"/>
      <c r="E158" s="647"/>
      <c r="F158" s="647"/>
      <c r="G158" s="874"/>
      <c r="H158" s="657"/>
      <c r="I158" s="657"/>
      <c r="J158" s="657"/>
      <c r="K158" s="739"/>
      <c r="L158" s="271"/>
    </row>
    <row r="159" spans="1:12" ht="12.75" customHeight="1" outlineLevel="1" x14ac:dyDescent="0.2">
      <c r="A159" s="670"/>
      <c r="B159" s="891"/>
      <c r="C159" s="872"/>
      <c r="D159" s="670"/>
      <c r="E159" s="670"/>
      <c r="F159" s="670"/>
      <c r="G159" s="875"/>
      <c r="H159" s="687"/>
      <c r="I159" s="687"/>
      <c r="J159" s="687"/>
      <c r="K159" s="740"/>
      <c r="L159" s="271"/>
    </row>
    <row r="160" spans="1:12" ht="12.75" customHeight="1" outlineLevel="1" x14ac:dyDescent="0.2">
      <c r="A160" s="646">
        <v>20</v>
      </c>
      <c r="B160" s="733">
        <v>43635</v>
      </c>
      <c r="C160" s="870" t="s">
        <v>639</v>
      </c>
      <c r="D160" s="654">
        <v>16120765.99</v>
      </c>
      <c r="E160" s="646" t="s">
        <v>279</v>
      </c>
      <c r="F160" s="646" t="s">
        <v>279</v>
      </c>
      <c r="G160" s="873" t="s">
        <v>279</v>
      </c>
      <c r="H160" s="656" t="s">
        <v>590</v>
      </c>
      <c r="I160" s="656" t="s">
        <v>605</v>
      </c>
      <c r="J160" s="733" t="s">
        <v>640</v>
      </c>
      <c r="K160" s="738" t="s">
        <v>445</v>
      </c>
      <c r="L160" s="271"/>
    </row>
    <row r="161" spans="1:12" ht="12.75" customHeight="1" outlineLevel="1" x14ac:dyDescent="0.2">
      <c r="A161" s="647"/>
      <c r="B161" s="890"/>
      <c r="C161" s="871"/>
      <c r="D161" s="655"/>
      <c r="E161" s="647"/>
      <c r="F161" s="647"/>
      <c r="G161" s="874"/>
      <c r="H161" s="657"/>
      <c r="I161" s="657"/>
      <c r="J161" s="890"/>
      <c r="K161" s="739"/>
      <c r="L161" s="271"/>
    </row>
    <row r="162" spans="1:12" ht="12.75" customHeight="1" outlineLevel="1" x14ac:dyDescent="0.2">
      <c r="A162" s="647"/>
      <c r="B162" s="890"/>
      <c r="C162" s="735"/>
      <c r="D162" s="647"/>
      <c r="E162" s="647"/>
      <c r="F162" s="647"/>
      <c r="G162" s="874"/>
      <c r="H162" s="657"/>
      <c r="I162" s="657"/>
      <c r="J162" s="657"/>
      <c r="K162" s="739"/>
      <c r="L162" s="271"/>
    </row>
    <row r="163" spans="1:12" ht="12.75" customHeight="1" outlineLevel="1" x14ac:dyDescent="0.2">
      <c r="A163" s="647"/>
      <c r="B163" s="890"/>
      <c r="C163" s="735"/>
      <c r="D163" s="647"/>
      <c r="E163" s="647"/>
      <c r="F163" s="647"/>
      <c r="G163" s="874"/>
      <c r="H163" s="657"/>
      <c r="I163" s="657"/>
      <c r="J163" s="657"/>
      <c r="K163" s="739"/>
      <c r="L163" s="271"/>
    </row>
    <row r="164" spans="1:12" ht="12.75" customHeight="1" outlineLevel="1" x14ac:dyDescent="0.2">
      <c r="A164" s="647"/>
      <c r="B164" s="890"/>
      <c r="C164" s="735"/>
      <c r="D164" s="647"/>
      <c r="E164" s="647"/>
      <c r="F164" s="647"/>
      <c r="G164" s="874"/>
      <c r="H164" s="657"/>
      <c r="I164" s="657"/>
      <c r="J164" s="657"/>
      <c r="K164" s="739"/>
      <c r="L164" s="271"/>
    </row>
    <row r="165" spans="1:12" ht="12.75" customHeight="1" outlineLevel="1" x14ac:dyDescent="0.2">
      <c r="A165" s="670"/>
      <c r="B165" s="891"/>
      <c r="C165" s="736"/>
      <c r="D165" s="670"/>
      <c r="E165" s="670"/>
      <c r="F165" s="670"/>
      <c r="G165" s="875"/>
      <c r="H165" s="687"/>
      <c r="I165" s="687"/>
      <c r="J165" s="687"/>
      <c r="K165" s="740"/>
      <c r="L165" s="271"/>
    </row>
    <row r="166" spans="1:12" ht="12.75" customHeight="1" x14ac:dyDescent="0.2">
      <c r="A166" s="545" t="s">
        <v>410</v>
      </c>
      <c r="B166" s="546"/>
      <c r="C166" s="547"/>
      <c r="D166" s="547"/>
      <c r="E166" s="547"/>
      <c r="F166" s="547"/>
      <c r="G166" s="547"/>
      <c r="H166" s="547"/>
      <c r="I166" s="547"/>
      <c r="J166" s="547"/>
      <c r="K166" s="548"/>
      <c r="L166" s="271"/>
    </row>
    <row r="167" spans="1:12" s="286" customFormat="1" ht="12.75" customHeight="1" outlineLevel="1" x14ac:dyDescent="0.25">
      <c r="A167" s="549">
        <v>16</v>
      </c>
      <c r="B167" s="741"/>
      <c r="C167" s="734"/>
      <c r="D167" s="552"/>
      <c r="E167" s="552"/>
      <c r="F167" s="552"/>
      <c r="G167" s="550"/>
      <c r="H167" s="656"/>
      <c r="I167" s="656"/>
      <c r="J167" s="299"/>
      <c r="K167" s="554"/>
    </row>
    <row r="168" spans="1:12" s="286" customFormat="1" ht="12.75" customHeight="1" outlineLevel="1" x14ac:dyDescent="0.25">
      <c r="A168" s="549"/>
      <c r="B168" s="742"/>
      <c r="C168" s="735"/>
      <c r="D168" s="552"/>
      <c r="E168" s="552"/>
      <c r="F168" s="552"/>
      <c r="G168" s="552"/>
      <c r="H168" s="647"/>
      <c r="I168" s="647"/>
      <c r="J168" s="300"/>
      <c r="K168" s="552"/>
    </row>
    <row r="169" spans="1:12" s="286" customFormat="1" ht="12.75" customHeight="1" outlineLevel="1" x14ac:dyDescent="0.25">
      <c r="A169" s="549"/>
      <c r="B169" s="742"/>
      <c r="C169" s="735"/>
      <c r="D169" s="552"/>
      <c r="E169" s="552"/>
      <c r="F169" s="552"/>
      <c r="G169" s="552"/>
      <c r="H169" s="647"/>
      <c r="I169" s="647"/>
      <c r="J169" s="300"/>
      <c r="K169" s="552"/>
    </row>
    <row r="170" spans="1:12" s="286" customFormat="1" ht="12.75" customHeight="1" outlineLevel="1" x14ac:dyDescent="0.25">
      <c r="A170" s="549"/>
      <c r="B170" s="743"/>
      <c r="C170" s="736"/>
      <c r="D170" s="552"/>
      <c r="E170" s="552"/>
      <c r="F170" s="552"/>
      <c r="G170" s="552"/>
      <c r="H170" s="670"/>
      <c r="I170" s="670"/>
      <c r="J170" s="301"/>
      <c r="K170" s="552"/>
    </row>
    <row r="171" spans="1:12" s="286" customFormat="1" ht="12.75" customHeight="1" outlineLevel="1" x14ac:dyDescent="0.25">
      <c r="A171" s="549">
        <v>17</v>
      </c>
      <c r="B171" s="741"/>
      <c r="C171" s="734"/>
      <c r="D171" s="552"/>
      <c r="E171" s="552"/>
      <c r="F171" s="552"/>
      <c r="G171" s="550"/>
      <c r="H171" s="656"/>
      <c r="I171" s="656"/>
      <c r="J171" s="299"/>
      <c r="K171" s="554"/>
    </row>
    <row r="172" spans="1:12" s="286" customFormat="1" ht="12.75" customHeight="1" outlineLevel="1" x14ac:dyDescent="0.25">
      <c r="A172" s="549"/>
      <c r="B172" s="742"/>
      <c r="C172" s="735"/>
      <c r="D172" s="552"/>
      <c r="E172" s="552"/>
      <c r="F172" s="552"/>
      <c r="G172" s="552"/>
      <c r="H172" s="647"/>
      <c r="I172" s="647"/>
      <c r="J172" s="300"/>
      <c r="K172" s="552"/>
    </row>
    <row r="173" spans="1:12" s="286" customFormat="1" ht="12.75" customHeight="1" outlineLevel="1" x14ac:dyDescent="0.25">
      <c r="A173" s="549"/>
      <c r="B173" s="742"/>
      <c r="C173" s="735"/>
      <c r="D173" s="552"/>
      <c r="E173" s="552"/>
      <c r="F173" s="552"/>
      <c r="G173" s="552"/>
      <c r="H173" s="647"/>
      <c r="I173" s="647"/>
      <c r="J173" s="300"/>
      <c r="K173" s="552"/>
    </row>
    <row r="174" spans="1:12" s="286" customFormat="1" ht="12.75" customHeight="1" outlineLevel="1" x14ac:dyDescent="0.25">
      <c r="A174" s="549"/>
      <c r="B174" s="743"/>
      <c r="C174" s="736"/>
      <c r="D174" s="552"/>
      <c r="E174" s="552"/>
      <c r="F174" s="552"/>
      <c r="G174" s="552"/>
      <c r="H174" s="670"/>
      <c r="I174" s="670"/>
      <c r="J174" s="301"/>
      <c r="K174" s="552"/>
    </row>
    <row r="175" spans="1:12" s="286" customFormat="1" ht="12.75" customHeight="1" outlineLevel="1" x14ac:dyDescent="0.25">
      <c r="A175" s="549">
        <v>18</v>
      </c>
      <c r="B175" s="741"/>
      <c r="C175" s="734"/>
      <c r="D175" s="552"/>
      <c r="E175" s="552"/>
      <c r="F175" s="552"/>
      <c r="G175" s="550"/>
      <c r="H175" s="656"/>
      <c r="I175" s="656"/>
      <c r="J175" s="299"/>
      <c r="K175" s="554"/>
    </row>
    <row r="176" spans="1:12" s="286" customFormat="1" ht="12.75" customHeight="1" outlineLevel="1" x14ac:dyDescent="0.25">
      <c r="A176" s="549"/>
      <c r="B176" s="742"/>
      <c r="C176" s="735"/>
      <c r="D176" s="552"/>
      <c r="E176" s="552"/>
      <c r="F176" s="552"/>
      <c r="G176" s="552"/>
      <c r="H176" s="647"/>
      <c r="I176" s="647"/>
      <c r="J176" s="300"/>
      <c r="K176" s="552"/>
    </row>
    <row r="177" spans="1:11" s="286" customFormat="1" ht="12.75" customHeight="1" outlineLevel="1" x14ac:dyDescent="0.25">
      <c r="A177" s="549"/>
      <c r="B177" s="742"/>
      <c r="C177" s="735"/>
      <c r="D177" s="552"/>
      <c r="E177" s="552"/>
      <c r="F177" s="552"/>
      <c r="G177" s="552"/>
      <c r="H177" s="647"/>
      <c r="I177" s="647"/>
      <c r="J177" s="300"/>
      <c r="K177" s="552"/>
    </row>
    <row r="178" spans="1:11" s="286" customFormat="1" ht="12.75" customHeight="1" outlineLevel="1" x14ac:dyDescent="0.25">
      <c r="A178" s="549"/>
      <c r="B178" s="743"/>
      <c r="C178" s="736"/>
      <c r="D178" s="552"/>
      <c r="E178" s="552"/>
      <c r="F178" s="552"/>
      <c r="G178" s="552"/>
      <c r="H178" s="670"/>
      <c r="I178" s="670"/>
      <c r="J178" s="301"/>
      <c r="K178" s="552"/>
    </row>
    <row r="179" spans="1:11" s="286" customFormat="1" ht="12.75" customHeight="1" outlineLevel="1" x14ac:dyDescent="0.25">
      <c r="A179" s="549">
        <v>19</v>
      </c>
      <c r="B179" s="741"/>
      <c r="C179" s="734"/>
      <c r="D179" s="552"/>
      <c r="E179" s="552"/>
      <c r="F179" s="552"/>
      <c r="G179" s="550"/>
      <c r="H179" s="656"/>
      <c r="I179" s="656"/>
      <c r="J179" s="299"/>
      <c r="K179" s="554"/>
    </row>
    <row r="180" spans="1:11" s="286" customFormat="1" ht="12.75" customHeight="1" outlineLevel="1" x14ac:dyDescent="0.25">
      <c r="A180" s="549"/>
      <c r="B180" s="742"/>
      <c r="C180" s="735"/>
      <c r="D180" s="552"/>
      <c r="E180" s="552"/>
      <c r="F180" s="552"/>
      <c r="G180" s="552"/>
      <c r="H180" s="647"/>
      <c r="I180" s="647"/>
      <c r="J180" s="300"/>
      <c r="K180" s="552"/>
    </row>
    <row r="181" spans="1:11" s="286" customFormat="1" ht="12.75" customHeight="1" outlineLevel="1" x14ac:dyDescent="0.25">
      <c r="A181" s="549"/>
      <c r="B181" s="742"/>
      <c r="C181" s="735"/>
      <c r="D181" s="552"/>
      <c r="E181" s="552"/>
      <c r="F181" s="552"/>
      <c r="G181" s="552"/>
      <c r="H181" s="647"/>
      <c r="I181" s="647"/>
      <c r="J181" s="300"/>
      <c r="K181" s="552"/>
    </row>
    <row r="182" spans="1:11" s="286" customFormat="1" ht="12.75" customHeight="1" outlineLevel="1" x14ac:dyDescent="0.25">
      <c r="A182" s="549"/>
      <c r="B182" s="743"/>
      <c r="C182" s="736"/>
      <c r="D182" s="552"/>
      <c r="E182" s="552"/>
      <c r="F182" s="552"/>
      <c r="G182" s="552"/>
      <c r="H182" s="670"/>
      <c r="I182" s="670"/>
      <c r="J182" s="301"/>
      <c r="K182" s="552"/>
    </row>
    <row r="183" spans="1:11" s="286" customFormat="1" ht="12.75" customHeight="1" outlineLevel="1" x14ac:dyDescent="0.25">
      <c r="A183" s="549">
        <v>20</v>
      </c>
      <c r="B183" s="741"/>
      <c r="C183" s="734"/>
      <c r="D183" s="552"/>
      <c r="E183" s="552"/>
      <c r="F183" s="552"/>
      <c r="G183" s="550"/>
      <c r="H183" s="656"/>
      <c r="I183" s="656"/>
      <c r="J183" s="299"/>
      <c r="K183" s="554"/>
    </row>
    <row r="184" spans="1:11" s="286" customFormat="1" ht="12.75" customHeight="1" outlineLevel="1" x14ac:dyDescent="0.25">
      <c r="A184" s="549"/>
      <c r="B184" s="742"/>
      <c r="C184" s="735"/>
      <c r="D184" s="552"/>
      <c r="E184" s="552"/>
      <c r="F184" s="552"/>
      <c r="G184" s="552"/>
      <c r="H184" s="647"/>
      <c r="I184" s="647"/>
      <c r="J184" s="300"/>
      <c r="K184" s="552"/>
    </row>
    <row r="185" spans="1:11" s="286" customFormat="1" ht="12.75" customHeight="1" outlineLevel="1" x14ac:dyDescent="0.25">
      <c r="A185" s="549"/>
      <c r="B185" s="742"/>
      <c r="C185" s="735"/>
      <c r="D185" s="552"/>
      <c r="E185" s="552"/>
      <c r="F185" s="552"/>
      <c r="G185" s="552"/>
      <c r="H185" s="647"/>
      <c r="I185" s="647"/>
      <c r="J185" s="300"/>
      <c r="K185" s="552"/>
    </row>
    <row r="186" spans="1:11" s="286" customFormat="1" ht="12.75" customHeight="1" outlineLevel="1" x14ac:dyDescent="0.25">
      <c r="A186" s="549"/>
      <c r="B186" s="743"/>
      <c r="C186" s="736"/>
      <c r="D186" s="552"/>
      <c r="E186" s="552"/>
      <c r="F186" s="552"/>
      <c r="G186" s="552"/>
      <c r="H186" s="670"/>
      <c r="I186" s="670"/>
      <c r="J186" s="301"/>
      <c r="K186" s="552"/>
    </row>
    <row r="187" spans="1:11" s="286" customFormat="1" ht="12.75" customHeight="1" outlineLevel="1" x14ac:dyDescent="0.25">
      <c r="A187" s="549">
        <v>21</v>
      </c>
      <c r="B187" s="741"/>
      <c r="C187" s="734"/>
      <c r="D187" s="552"/>
      <c r="E187" s="552"/>
      <c r="F187" s="552"/>
      <c r="G187" s="550"/>
      <c r="H187" s="656"/>
      <c r="I187" s="656"/>
      <c r="J187" s="299"/>
      <c r="K187" s="554"/>
    </row>
    <row r="188" spans="1:11" s="286" customFormat="1" ht="12.75" customHeight="1" outlineLevel="1" x14ac:dyDescent="0.25">
      <c r="A188" s="549"/>
      <c r="B188" s="742"/>
      <c r="C188" s="735"/>
      <c r="D188" s="552"/>
      <c r="E188" s="552"/>
      <c r="F188" s="552"/>
      <c r="G188" s="552"/>
      <c r="H188" s="647"/>
      <c r="I188" s="647"/>
      <c r="J188" s="300"/>
      <c r="K188" s="552"/>
    </row>
    <row r="189" spans="1:11" s="286" customFormat="1" ht="12.75" customHeight="1" outlineLevel="1" x14ac:dyDescent="0.25">
      <c r="A189" s="549"/>
      <c r="B189" s="742"/>
      <c r="C189" s="735"/>
      <c r="D189" s="552"/>
      <c r="E189" s="552"/>
      <c r="F189" s="552"/>
      <c r="G189" s="552"/>
      <c r="H189" s="647"/>
      <c r="I189" s="647"/>
      <c r="J189" s="300"/>
      <c r="K189" s="552"/>
    </row>
    <row r="190" spans="1:11" s="286" customFormat="1" ht="12.75" customHeight="1" outlineLevel="1" x14ac:dyDescent="0.25">
      <c r="A190" s="549"/>
      <c r="B190" s="743"/>
      <c r="C190" s="736"/>
      <c r="D190" s="552"/>
      <c r="E190" s="552"/>
      <c r="F190" s="552"/>
      <c r="G190" s="552"/>
      <c r="H190" s="670"/>
      <c r="I190" s="670"/>
      <c r="J190" s="301"/>
      <c r="K190" s="552"/>
    </row>
    <row r="191" spans="1:11" s="286" customFormat="1" ht="12.75" customHeight="1" outlineLevel="1" x14ac:dyDescent="0.25">
      <c r="A191" s="549">
        <v>22</v>
      </c>
      <c r="B191" s="741"/>
      <c r="C191" s="734"/>
      <c r="D191" s="552"/>
      <c r="E191" s="552"/>
      <c r="F191" s="552"/>
      <c r="G191" s="550"/>
      <c r="H191" s="656"/>
      <c r="I191" s="656"/>
      <c r="J191" s="299"/>
      <c r="K191" s="554"/>
    </row>
    <row r="192" spans="1:11" s="286" customFormat="1" ht="12.75" customHeight="1" outlineLevel="1" x14ac:dyDescent="0.25">
      <c r="A192" s="549"/>
      <c r="B192" s="742"/>
      <c r="C192" s="735"/>
      <c r="D192" s="552"/>
      <c r="E192" s="552"/>
      <c r="F192" s="552"/>
      <c r="G192" s="552"/>
      <c r="H192" s="647"/>
      <c r="I192" s="647"/>
      <c r="J192" s="300"/>
      <c r="K192" s="552"/>
    </row>
    <row r="193" spans="1:11" s="286" customFormat="1" ht="12.75" customHeight="1" outlineLevel="1" x14ac:dyDescent="0.25">
      <c r="A193" s="549"/>
      <c r="B193" s="742"/>
      <c r="C193" s="735"/>
      <c r="D193" s="552"/>
      <c r="E193" s="552"/>
      <c r="F193" s="552"/>
      <c r="G193" s="552"/>
      <c r="H193" s="647"/>
      <c r="I193" s="647"/>
      <c r="J193" s="300"/>
      <c r="K193" s="552"/>
    </row>
    <row r="194" spans="1:11" s="286" customFormat="1" ht="12.75" customHeight="1" outlineLevel="1" x14ac:dyDescent="0.25">
      <c r="A194" s="549"/>
      <c r="B194" s="743"/>
      <c r="C194" s="736"/>
      <c r="D194" s="552"/>
      <c r="E194" s="552"/>
      <c r="F194" s="552"/>
      <c r="G194" s="552"/>
      <c r="H194" s="670"/>
      <c r="I194" s="670"/>
      <c r="J194" s="301"/>
      <c r="K194" s="552"/>
    </row>
    <row r="195" spans="1:11" s="286" customFormat="1" ht="12.75" customHeight="1" outlineLevel="1" x14ac:dyDescent="0.25">
      <c r="A195" s="549">
        <v>23</v>
      </c>
      <c r="B195" s="741"/>
      <c r="C195" s="734"/>
      <c r="D195" s="552"/>
      <c r="E195" s="552"/>
      <c r="F195" s="552"/>
      <c r="G195" s="550"/>
      <c r="H195" s="656"/>
      <c r="I195" s="656"/>
      <c r="J195" s="299"/>
      <c r="K195" s="554"/>
    </row>
    <row r="196" spans="1:11" s="286" customFormat="1" ht="12.75" customHeight="1" outlineLevel="1" x14ac:dyDescent="0.25">
      <c r="A196" s="549"/>
      <c r="B196" s="742"/>
      <c r="C196" s="735"/>
      <c r="D196" s="552"/>
      <c r="E196" s="552"/>
      <c r="F196" s="552"/>
      <c r="G196" s="552"/>
      <c r="H196" s="647"/>
      <c r="I196" s="647"/>
      <c r="J196" s="300"/>
      <c r="K196" s="552"/>
    </row>
    <row r="197" spans="1:11" s="286" customFormat="1" ht="12.75" customHeight="1" outlineLevel="1" x14ac:dyDescent="0.25">
      <c r="A197" s="549"/>
      <c r="B197" s="742"/>
      <c r="C197" s="735"/>
      <c r="D197" s="552"/>
      <c r="E197" s="552"/>
      <c r="F197" s="552"/>
      <c r="G197" s="552"/>
      <c r="H197" s="647"/>
      <c r="I197" s="647"/>
      <c r="J197" s="300"/>
      <c r="K197" s="552"/>
    </row>
    <row r="198" spans="1:11" s="286" customFormat="1" ht="12.75" customHeight="1" outlineLevel="1" x14ac:dyDescent="0.25">
      <c r="A198" s="549"/>
      <c r="B198" s="743"/>
      <c r="C198" s="736"/>
      <c r="D198" s="552"/>
      <c r="E198" s="552"/>
      <c r="F198" s="552"/>
      <c r="G198" s="552"/>
      <c r="H198" s="670"/>
      <c r="I198" s="670"/>
      <c r="J198" s="301"/>
      <c r="K198" s="552"/>
    </row>
    <row r="199" spans="1:11" s="286" customFormat="1" ht="12.75" customHeight="1" outlineLevel="1" x14ac:dyDescent="0.25">
      <c r="A199" s="549">
        <v>24</v>
      </c>
      <c r="B199" s="741"/>
      <c r="C199" s="734"/>
      <c r="D199" s="552"/>
      <c r="E199" s="552"/>
      <c r="F199" s="552"/>
      <c r="G199" s="550"/>
      <c r="H199" s="656"/>
      <c r="I199" s="656"/>
      <c r="J199" s="299"/>
      <c r="K199" s="554"/>
    </row>
    <row r="200" spans="1:11" s="286" customFormat="1" ht="12.75" customHeight="1" outlineLevel="1" x14ac:dyDescent="0.25">
      <c r="A200" s="549"/>
      <c r="B200" s="742"/>
      <c r="C200" s="735"/>
      <c r="D200" s="552"/>
      <c r="E200" s="552"/>
      <c r="F200" s="552"/>
      <c r="G200" s="552"/>
      <c r="H200" s="647"/>
      <c r="I200" s="647"/>
      <c r="J200" s="300"/>
      <c r="K200" s="552"/>
    </row>
    <row r="201" spans="1:11" s="286" customFormat="1" ht="12.75" customHeight="1" outlineLevel="1" x14ac:dyDescent="0.25">
      <c r="A201" s="549"/>
      <c r="B201" s="742"/>
      <c r="C201" s="735"/>
      <c r="D201" s="552"/>
      <c r="E201" s="552"/>
      <c r="F201" s="552"/>
      <c r="G201" s="552"/>
      <c r="H201" s="647"/>
      <c r="I201" s="647"/>
      <c r="J201" s="300"/>
      <c r="K201" s="552"/>
    </row>
    <row r="202" spans="1:11" s="286" customFormat="1" ht="12.75" customHeight="1" outlineLevel="1" x14ac:dyDescent="0.25">
      <c r="A202" s="549"/>
      <c r="B202" s="743"/>
      <c r="C202" s="736"/>
      <c r="D202" s="552"/>
      <c r="E202" s="552"/>
      <c r="F202" s="552"/>
      <c r="G202" s="552"/>
      <c r="H202" s="670"/>
      <c r="I202" s="670"/>
      <c r="J202" s="301"/>
      <c r="K202" s="552"/>
    </row>
    <row r="203" spans="1:11" ht="12.75" customHeight="1" x14ac:dyDescent="0.2">
      <c r="A203" s="744" t="s">
        <v>437</v>
      </c>
      <c r="B203" s="744"/>
      <c r="C203" s="744"/>
      <c r="D203" s="744"/>
      <c r="E203" s="744"/>
      <c r="F203" s="744"/>
      <c r="G203" s="744"/>
      <c r="H203" s="744"/>
      <c r="I203" s="744"/>
      <c r="J203" s="744"/>
      <c r="K203" s="744"/>
    </row>
    <row r="204" spans="1:11" s="286" customFormat="1" ht="12.75" customHeight="1" outlineLevel="1" x14ac:dyDescent="0.25">
      <c r="A204" s="549">
        <v>25</v>
      </c>
      <c r="B204" s="741"/>
      <c r="C204" s="734"/>
      <c r="D204" s="552"/>
      <c r="E204" s="552"/>
      <c r="F204" s="552"/>
      <c r="G204" s="550"/>
      <c r="H204" s="656"/>
      <c r="I204" s="656"/>
      <c r="J204" s="299"/>
      <c r="K204" s="554"/>
    </row>
    <row r="205" spans="1:11" s="286" customFormat="1" ht="12.75" customHeight="1" outlineLevel="1" x14ac:dyDescent="0.25">
      <c r="A205" s="549"/>
      <c r="B205" s="742"/>
      <c r="C205" s="735"/>
      <c r="D205" s="552"/>
      <c r="E205" s="552"/>
      <c r="F205" s="552"/>
      <c r="G205" s="552"/>
      <c r="H205" s="647"/>
      <c r="I205" s="647"/>
      <c r="J205" s="300"/>
      <c r="K205" s="552"/>
    </row>
    <row r="206" spans="1:11" s="286" customFormat="1" ht="12.75" customHeight="1" outlineLevel="1" x14ac:dyDescent="0.25">
      <c r="A206" s="549"/>
      <c r="B206" s="742"/>
      <c r="C206" s="735"/>
      <c r="D206" s="552"/>
      <c r="E206" s="552"/>
      <c r="F206" s="552"/>
      <c r="G206" s="552"/>
      <c r="H206" s="647"/>
      <c r="I206" s="647"/>
      <c r="J206" s="300"/>
      <c r="K206" s="552"/>
    </row>
    <row r="207" spans="1:11" s="286" customFormat="1" ht="12.75" customHeight="1" outlineLevel="1" x14ac:dyDescent="0.25">
      <c r="A207" s="549"/>
      <c r="B207" s="743"/>
      <c r="C207" s="736"/>
      <c r="D207" s="552"/>
      <c r="E207" s="552"/>
      <c r="F207" s="552"/>
      <c r="G207" s="552"/>
      <c r="H207" s="670"/>
      <c r="I207" s="670"/>
      <c r="J207" s="301"/>
      <c r="K207" s="552"/>
    </row>
    <row r="208" spans="1:11" ht="12.75" customHeight="1" x14ac:dyDescent="0.2">
      <c r="A208" s="270"/>
      <c r="B208" s="270"/>
      <c r="C208" s="555"/>
      <c r="D208" s="555"/>
      <c r="E208" s="270"/>
      <c r="F208" s="270"/>
      <c r="G208" s="270"/>
      <c r="H208" s="270"/>
      <c r="I208" s="270"/>
      <c r="J208" s="270"/>
    </row>
    <row r="209" spans="1:11" ht="12.75" customHeight="1" x14ac:dyDescent="0.2">
      <c r="A209" s="282"/>
      <c r="B209" s="282"/>
      <c r="C209" s="506" t="s">
        <v>409</v>
      </c>
      <c r="D209" s="847"/>
      <c r="E209" s="507"/>
      <c r="F209" s="506" t="s">
        <v>436</v>
      </c>
      <c r="G209" s="847"/>
      <c r="H209" s="507"/>
      <c r="I209" s="752" t="s">
        <v>437</v>
      </c>
      <c r="J209" s="892"/>
      <c r="K209" s="753"/>
    </row>
    <row r="210" spans="1:11" ht="12.75" customHeight="1" x14ac:dyDescent="0.2">
      <c r="A210" s="512" t="s">
        <v>438</v>
      </c>
      <c r="B210" s="556"/>
      <c r="C210" s="540" t="s">
        <v>574</v>
      </c>
      <c r="D210" s="859"/>
      <c r="E210" s="859"/>
      <c r="F210" s="748"/>
      <c r="G210" s="749"/>
      <c r="H210" s="749"/>
      <c r="I210" s="748"/>
      <c r="J210" s="749"/>
      <c r="K210" s="750"/>
    </row>
    <row r="211" spans="1:11" ht="12.75" customHeight="1" x14ac:dyDescent="0.2">
      <c r="A211" s="512" t="s">
        <v>440</v>
      </c>
      <c r="B211" s="556"/>
      <c r="C211" s="540" t="s">
        <v>641</v>
      </c>
      <c r="D211" s="859"/>
      <c r="E211" s="859"/>
      <c r="F211" s="748"/>
      <c r="G211" s="749"/>
      <c r="H211" s="749"/>
      <c r="I211" s="748"/>
      <c r="J211" s="749"/>
      <c r="K211" s="750"/>
    </row>
    <row r="212" spans="1:11" ht="12.75" customHeight="1" x14ac:dyDescent="0.2">
      <c r="A212" s="512" t="s">
        <v>441</v>
      </c>
      <c r="B212" s="556"/>
      <c r="C212" s="514" t="s">
        <v>330</v>
      </c>
      <c r="D212" s="849"/>
      <c r="E212" s="581"/>
      <c r="F212" s="582" t="s">
        <v>392</v>
      </c>
      <c r="G212" s="893"/>
      <c r="H212" s="583"/>
      <c r="I212" s="582" t="s">
        <v>392</v>
      </c>
      <c r="J212" s="893"/>
      <c r="K212" s="583"/>
    </row>
    <row r="213" spans="1:11" ht="12.75" customHeight="1" x14ac:dyDescent="0.2">
      <c r="A213" s="270"/>
      <c r="B213" s="270"/>
      <c r="C213" s="270"/>
      <c r="D213" s="270"/>
      <c r="E213" s="270"/>
      <c r="F213" s="270"/>
      <c r="G213" s="270"/>
      <c r="H213" s="270"/>
      <c r="I213" s="270"/>
      <c r="J213" s="270"/>
      <c r="K213" s="270"/>
    </row>
    <row r="214" spans="1:11" ht="12.75" customHeight="1" x14ac:dyDescent="0.2">
      <c r="A214" s="561" t="s">
        <v>442</v>
      </c>
      <c r="B214" s="562"/>
      <c r="C214" s="270"/>
      <c r="D214" s="270"/>
      <c r="E214" s="270"/>
      <c r="F214" s="270"/>
      <c r="G214" s="270"/>
      <c r="H214" s="270"/>
      <c r="I214" s="270"/>
      <c r="J214" s="270"/>
    </row>
    <row r="215" spans="1:11" ht="12.75" customHeight="1" x14ac:dyDescent="0.2">
      <c r="A215" s="764" t="s">
        <v>279</v>
      </c>
      <c r="B215" s="764"/>
      <c r="C215" s="755" t="s">
        <v>443</v>
      </c>
      <c r="D215" s="755"/>
      <c r="E215" s="755"/>
      <c r="F215" s="755"/>
      <c r="G215" s="755"/>
      <c r="H215" s="755"/>
      <c r="I215" s="755"/>
      <c r="J215" s="755"/>
      <c r="K215" s="755"/>
    </row>
    <row r="216" spans="1:11" ht="12.75" customHeight="1" x14ac:dyDescent="0.2">
      <c r="A216" s="764"/>
      <c r="B216" s="764"/>
      <c r="C216" s="755"/>
      <c r="D216" s="755"/>
      <c r="E216" s="755"/>
      <c r="F216" s="755"/>
      <c r="G216" s="755"/>
      <c r="H216" s="755"/>
      <c r="I216" s="755"/>
      <c r="J216" s="755"/>
      <c r="K216" s="755"/>
    </row>
    <row r="217" spans="1:11" ht="12.75" customHeight="1" x14ac:dyDescent="0.2">
      <c r="A217" s="754" t="s">
        <v>432</v>
      </c>
      <c r="B217" s="754"/>
      <c r="C217" s="755" t="s">
        <v>444</v>
      </c>
      <c r="D217" s="755"/>
      <c r="E217" s="755"/>
      <c r="F217" s="755"/>
      <c r="G217" s="755"/>
      <c r="H217" s="755"/>
      <c r="I217" s="755"/>
      <c r="J217" s="755"/>
      <c r="K217" s="755"/>
    </row>
    <row r="218" spans="1:11" ht="12.75" customHeight="1" x14ac:dyDescent="0.2">
      <c r="A218" s="754"/>
      <c r="B218" s="754"/>
      <c r="C218" s="755"/>
      <c r="D218" s="755"/>
      <c r="E218" s="755"/>
      <c r="F218" s="755"/>
      <c r="G218" s="755"/>
      <c r="H218" s="755"/>
      <c r="I218" s="755"/>
      <c r="J218" s="755"/>
      <c r="K218" s="755"/>
    </row>
    <row r="219" spans="1:11" ht="12.75" customHeight="1" x14ac:dyDescent="0.2">
      <c r="A219" s="577" t="s">
        <v>445</v>
      </c>
      <c r="B219" s="697"/>
      <c r="C219" s="460" t="s">
        <v>642</v>
      </c>
      <c r="D219" s="461"/>
      <c r="E219" s="461"/>
      <c r="F219" s="461"/>
      <c r="G219" s="461"/>
      <c r="H219" s="461"/>
      <c r="I219" s="461"/>
      <c r="J219" s="461"/>
      <c r="K219" s="462"/>
    </row>
    <row r="220" spans="1:11" ht="12.75" customHeight="1" x14ac:dyDescent="0.2">
      <c r="A220" s="699"/>
      <c r="B220" s="700"/>
      <c r="C220" s="463"/>
      <c r="D220" s="464"/>
      <c r="E220" s="464"/>
      <c r="F220" s="464"/>
      <c r="G220" s="464"/>
      <c r="H220" s="464"/>
      <c r="I220" s="464"/>
      <c r="J220" s="464"/>
      <c r="K220" s="465"/>
    </row>
    <row r="222" spans="1:11" ht="12.75" customHeight="1" x14ac:dyDescent="0.2">
      <c r="A222" s="595" t="s">
        <v>370</v>
      </c>
      <c r="B222" s="596"/>
      <c r="C222" s="596"/>
      <c r="D222" s="596"/>
      <c r="E222" s="596"/>
      <c r="F222" s="596"/>
      <c r="G222" s="596"/>
      <c r="H222" s="596"/>
      <c r="I222" s="596"/>
      <c r="J222" s="596"/>
      <c r="K222" s="597"/>
    </row>
    <row r="223" spans="1:11" ht="12.75" customHeight="1" x14ac:dyDescent="0.2">
      <c r="A223" s="294" t="s">
        <v>449</v>
      </c>
      <c r="B223" s="294" t="s">
        <v>450</v>
      </c>
      <c r="C223" s="294" t="s">
        <v>451</v>
      </c>
      <c r="D223" s="796" t="s">
        <v>452</v>
      </c>
      <c r="E223" s="796"/>
      <c r="F223" s="796"/>
      <c r="G223" s="796"/>
      <c r="H223" s="796"/>
      <c r="I223" s="796"/>
      <c r="J223" s="796"/>
      <c r="K223" s="796"/>
    </row>
    <row r="224" spans="1:11" ht="12.75" customHeight="1" x14ac:dyDescent="0.2">
      <c r="A224" s="598" t="s">
        <v>91</v>
      </c>
      <c r="B224" s="598" t="s">
        <v>454</v>
      </c>
      <c r="C224" s="598" t="s">
        <v>158</v>
      </c>
      <c r="D224" s="894" t="s">
        <v>456</v>
      </c>
      <c r="E224" s="895" t="s">
        <v>457</v>
      </c>
      <c r="F224" s="895"/>
      <c r="G224" s="895"/>
      <c r="H224" s="801" t="s">
        <v>704</v>
      </c>
      <c r="I224" s="801"/>
      <c r="J224" s="801"/>
      <c r="K224" s="801"/>
    </row>
    <row r="225" spans="1:11" ht="12.75" customHeight="1" x14ac:dyDescent="0.2">
      <c r="A225" s="599"/>
      <c r="B225" s="599"/>
      <c r="C225" s="599"/>
      <c r="D225" s="894"/>
      <c r="E225" s="895"/>
      <c r="F225" s="895"/>
      <c r="G225" s="895"/>
      <c r="H225" s="801"/>
      <c r="I225" s="801"/>
      <c r="J225" s="801"/>
      <c r="K225" s="801"/>
    </row>
    <row r="226" spans="1:11" ht="12.75" customHeight="1" x14ac:dyDescent="0.2">
      <c r="A226" s="599"/>
      <c r="B226" s="599"/>
      <c r="C226" s="599"/>
      <c r="D226" s="894"/>
      <c r="E226" s="895"/>
      <c r="F226" s="895"/>
      <c r="G226" s="895"/>
      <c r="H226" s="801"/>
      <c r="I226" s="801"/>
      <c r="J226" s="801"/>
      <c r="K226" s="801"/>
    </row>
    <row r="227" spans="1:11" ht="12.75" customHeight="1" x14ac:dyDescent="0.2">
      <c r="A227" s="599"/>
      <c r="B227" s="599"/>
      <c r="C227" s="599"/>
      <c r="D227" s="894"/>
      <c r="E227" s="895"/>
      <c r="F227" s="895"/>
      <c r="G227" s="895"/>
      <c r="H227" s="801"/>
      <c r="I227" s="801"/>
      <c r="J227" s="801"/>
      <c r="K227" s="801"/>
    </row>
    <row r="228" spans="1:11" ht="12.75" customHeight="1" x14ac:dyDescent="0.2">
      <c r="A228" s="599"/>
      <c r="B228" s="599"/>
      <c r="C228" s="599"/>
      <c r="D228" s="894"/>
      <c r="E228" s="895"/>
      <c r="F228" s="895"/>
      <c r="G228" s="895"/>
      <c r="H228" s="801"/>
      <c r="I228" s="801"/>
      <c r="J228" s="801"/>
      <c r="K228" s="801"/>
    </row>
    <row r="229" spans="1:11" ht="12.75" customHeight="1" x14ac:dyDescent="0.2">
      <c r="A229" s="599"/>
      <c r="B229" s="599"/>
      <c r="C229" s="599"/>
      <c r="D229" s="894" t="s">
        <v>458</v>
      </c>
      <c r="E229" s="895" t="s">
        <v>459</v>
      </c>
      <c r="F229" s="895"/>
      <c r="G229" s="895"/>
      <c r="H229" s="801" t="s">
        <v>704</v>
      </c>
      <c r="I229" s="801"/>
      <c r="J229" s="801"/>
      <c r="K229" s="801"/>
    </row>
    <row r="230" spans="1:11" ht="12.75" customHeight="1" x14ac:dyDescent="0.2">
      <c r="A230" s="599"/>
      <c r="B230" s="599"/>
      <c r="C230" s="599"/>
      <c r="D230" s="894"/>
      <c r="E230" s="895"/>
      <c r="F230" s="895"/>
      <c r="G230" s="895"/>
      <c r="H230" s="801"/>
      <c r="I230" s="801"/>
      <c r="J230" s="801"/>
      <c r="K230" s="801"/>
    </row>
    <row r="231" spans="1:11" ht="12.75" customHeight="1" x14ac:dyDescent="0.2">
      <c r="A231" s="599"/>
      <c r="B231" s="599"/>
      <c r="C231" s="599"/>
      <c r="D231" s="894"/>
      <c r="E231" s="895"/>
      <c r="F231" s="895"/>
      <c r="G231" s="895"/>
      <c r="H231" s="801"/>
      <c r="I231" s="801"/>
      <c r="J231" s="801"/>
      <c r="K231" s="801"/>
    </row>
    <row r="232" spans="1:11" ht="12.75" customHeight="1" x14ac:dyDescent="0.2">
      <c r="A232" s="599"/>
      <c r="B232" s="599"/>
      <c r="C232" s="599"/>
      <c r="D232" s="894"/>
      <c r="E232" s="895"/>
      <c r="F232" s="895"/>
      <c r="G232" s="895"/>
      <c r="H232" s="801"/>
      <c r="I232" s="801"/>
      <c r="J232" s="801"/>
      <c r="K232" s="801"/>
    </row>
    <row r="233" spans="1:11" ht="12.75" customHeight="1" x14ac:dyDescent="0.2">
      <c r="A233" s="599"/>
      <c r="B233" s="599"/>
      <c r="C233" s="599"/>
      <c r="D233" s="894"/>
      <c r="E233" s="895"/>
      <c r="F233" s="895"/>
      <c r="G233" s="895"/>
      <c r="H233" s="801"/>
      <c r="I233" s="801"/>
      <c r="J233" s="801"/>
      <c r="K233" s="801"/>
    </row>
    <row r="234" spans="1:11" ht="12.75" customHeight="1" x14ac:dyDescent="0.2">
      <c r="A234" s="599"/>
      <c r="B234" s="599"/>
      <c r="C234" s="599"/>
      <c r="D234" s="894" t="s">
        <v>460</v>
      </c>
      <c r="E234" s="895" t="s">
        <v>461</v>
      </c>
      <c r="F234" s="895"/>
      <c r="G234" s="895"/>
      <c r="H234" s="801" t="s">
        <v>704</v>
      </c>
      <c r="I234" s="801"/>
      <c r="J234" s="801"/>
      <c r="K234" s="801"/>
    </row>
    <row r="235" spans="1:11" ht="12.75" customHeight="1" x14ac:dyDescent="0.2">
      <c r="A235" s="599"/>
      <c r="B235" s="599"/>
      <c r="C235" s="599"/>
      <c r="D235" s="894"/>
      <c r="E235" s="895"/>
      <c r="F235" s="895"/>
      <c r="G235" s="895"/>
      <c r="H235" s="801"/>
      <c r="I235" s="801"/>
      <c r="J235" s="801"/>
      <c r="K235" s="801"/>
    </row>
    <row r="236" spans="1:11" ht="12.75" customHeight="1" x14ac:dyDescent="0.2">
      <c r="A236" s="599"/>
      <c r="B236" s="599"/>
      <c r="C236" s="599"/>
      <c r="D236" s="894"/>
      <c r="E236" s="895"/>
      <c r="F236" s="895"/>
      <c r="G236" s="895"/>
      <c r="H236" s="801"/>
      <c r="I236" s="801"/>
      <c r="J236" s="801"/>
      <c r="K236" s="801"/>
    </row>
    <row r="237" spans="1:11" ht="12.75" customHeight="1" x14ac:dyDescent="0.2">
      <c r="A237" s="599"/>
      <c r="B237" s="599"/>
      <c r="C237" s="599"/>
      <c r="D237" s="894"/>
      <c r="E237" s="895"/>
      <c r="F237" s="895"/>
      <c r="G237" s="895"/>
      <c r="H237" s="801"/>
      <c r="I237" s="801"/>
      <c r="J237" s="801"/>
      <c r="K237" s="801"/>
    </row>
    <row r="238" spans="1:11" ht="12.75" customHeight="1" x14ac:dyDescent="0.2">
      <c r="A238" s="599"/>
      <c r="B238" s="599"/>
      <c r="C238" s="599"/>
      <c r="D238" s="894"/>
      <c r="E238" s="895"/>
      <c r="F238" s="895"/>
      <c r="G238" s="895"/>
      <c r="H238" s="801"/>
      <c r="I238" s="801"/>
      <c r="J238" s="801"/>
      <c r="K238" s="801"/>
    </row>
    <row r="239" spans="1:11" ht="12.75" customHeight="1" x14ac:dyDescent="0.2">
      <c r="A239" s="599"/>
      <c r="B239" s="599"/>
      <c r="C239" s="599"/>
      <c r="D239" s="894"/>
      <c r="E239" s="895" t="s">
        <v>462</v>
      </c>
      <c r="F239" s="895"/>
      <c r="G239" s="895"/>
      <c r="H239" s="800"/>
      <c r="I239" s="800"/>
      <c r="J239" s="800"/>
      <c r="K239" s="800"/>
    </row>
    <row r="240" spans="1:11" ht="12.75" customHeight="1" x14ac:dyDescent="0.2">
      <c r="A240" s="599"/>
      <c r="B240" s="599"/>
      <c r="C240" s="599"/>
      <c r="D240" s="894"/>
      <c r="E240" s="895"/>
      <c r="F240" s="895"/>
      <c r="G240" s="895"/>
      <c r="H240" s="800"/>
      <c r="I240" s="800"/>
      <c r="J240" s="800"/>
      <c r="K240" s="800"/>
    </row>
    <row r="241" spans="1:11" ht="12.75" customHeight="1" x14ac:dyDescent="0.2">
      <c r="A241" s="599"/>
      <c r="B241" s="599"/>
      <c r="C241" s="599"/>
      <c r="D241" s="894"/>
      <c r="E241" s="895" t="s">
        <v>463</v>
      </c>
      <c r="F241" s="895"/>
      <c r="G241" s="895"/>
      <c r="H241" s="801" t="s">
        <v>704</v>
      </c>
      <c r="I241" s="801"/>
      <c r="J241" s="801"/>
      <c r="K241" s="801"/>
    </row>
    <row r="242" spans="1:11" ht="12.75" customHeight="1" x14ac:dyDescent="0.2">
      <c r="A242" s="599"/>
      <c r="B242" s="599"/>
      <c r="C242" s="599"/>
      <c r="D242" s="894"/>
      <c r="E242" s="895"/>
      <c r="F242" s="895"/>
      <c r="G242" s="895"/>
      <c r="H242" s="801"/>
      <c r="I242" s="801"/>
      <c r="J242" s="801"/>
      <c r="K242" s="801"/>
    </row>
    <row r="243" spans="1:11" ht="12.75" customHeight="1" x14ac:dyDescent="0.2">
      <c r="A243" s="599"/>
      <c r="B243" s="599"/>
      <c r="C243" s="599"/>
      <c r="D243" s="894"/>
      <c r="E243" s="895"/>
      <c r="F243" s="895"/>
      <c r="G243" s="895"/>
      <c r="H243" s="801"/>
      <c r="I243" s="801"/>
      <c r="J243" s="801"/>
      <c r="K243" s="801"/>
    </row>
    <row r="244" spans="1:11" ht="12.75" customHeight="1" x14ac:dyDescent="0.2">
      <c r="A244" s="599"/>
      <c r="B244" s="599"/>
      <c r="C244" s="599"/>
      <c r="D244" s="894"/>
      <c r="E244" s="895"/>
      <c r="F244" s="895"/>
      <c r="G244" s="895"/>
      <c r="H244" s="801"/>
      <c r="I244" s="801"/>
      <c r="J244" s="801"/>
      <c r="K244" s="801"/>
    </row>
    <row r="245" spans="1:11" ht="12.75" customHeight="1" x14ac:dyDescent="0.2">
      <c r="A245" s="599"/>
      <c r="B245" s="599"/>
      <c r="C245" s="599"/>
      <c r="D245" s="894"/>
      <c r="E245" s="895"/>
      <c r="F245" s="895"/>
      <c r="G245" s="895"/>
      <c r="H245" s="801"/>
      <c r="I245" s="801"/>
      <c r="J245" s="801"/>
      <c r="K245" s="801"/>
    </row>
    <row r="246" spans="1:11" ht="12.75" customHeight="1" x14ac:dyDescent="0.2">
      <c r="A246" s="599"/>
      <c r="B246" s="599"/>
      <c r="C246" s="599"/>
      <c r="D246" s="894"/>
      <c r="E246" s="895" t="s">
        <v>464</v>
      </c>
      <c r="F246" s="895"/>
      <c r="G246" s="895"/>
      <c r="H246" s="800"/>
      <c r="I246" s="800"/>
      <c r="J246" s="800"/>
      <c r="K246" s="800"/>
    </row>
    <row r="247" spans="1:11" ht="12.75" customHeight="1" x14ac:dyDescent="0.2">
      <c r="A247" s="599"/>
      <c r="B247" s="599"/>
      <c r="C247" s="599"/>
      <c r="D247" s="894"/>
      <c r="E247" s="895"/>
      <c r="F247" s="895"/>
      <c r="G247" s="895"/>
      <c r="H247" s="800"/>
      <c r="I247" s="800"/>
      <c r="J247" s="800"/>
      <c r="K247" s="800"/>
    </row>
    <row r="248" spans="1:11" ht="12.75" customHeight="1" x14ac:dyDescent="0.2">
      <c r="A248" s="599"/>
      <c r="B248" s="599"/>
      <c r="C248" s="599"/>
      <c r="D248" s="894" t="s">
        <v>465</v>
      </c>
      <c r="E248" s="895" t="s">
        <v>466</v>
      </c>
      <c r="F248" s="895"/>
      <c r="G248" s="895"/>
      <c r="H248" s="801" t="s">
        <v>704</v>
      </c>
      <c r="I248" s="801"/>
      <c r="J248" s="801"/>
      <c r="K248" s="801"/>
    </row>
    <row r="249" spans="1:11" ht="12.75" customHeight="1" x14ac:dyDescent="0.2">
      <c r="A249" s="599"/>
      <c r="B249" s="599"/>
      <c r="C249" s="599"/>
      <c r="D249" s="894"/>
      <c r="E249" s="895"/>
      <c r="F249" s="895"/>
      <c r="G249" s="895"/>
      <c r="H249" s="801"/>
      <c r="I249" s="801"/>
      <c r="J249" s="801"/>
      <c r="K249" s="801"/>
    </row>
    <row r="250" spans="1:11" ht="12.75" customHeight="1" x14ac:dyDescent="0.2">
      <c r="A250" s="599"/>
      <c r="B250" s="599"/>
      <c r="C250" s="599"/>
      <c r="D250" s="894"/>
      <c r="E250" s="895"/>
      <c r="F250" s="895"/>
      <c r="G250" s="895"/>
      <c r="H250" s="801"/>
      <c r="I250" s="801"/>
      <c r="J250" s="801"/>
      <c r="K250" s="801"/>
    </row>
    <row r="251" spans="1:11" ht="12.75" customHeight="1" x14ac:dyDescent="0.2">
      <c r="A251" s="599"/>
      <c r="B251" s="599"/>
      <c r="C251" s="599"/>
      <c r="D251" s="894"/>
      <c r="E251" s="895"/>
      <c r="F251" s="895"/>
      <c r="G251" s="895"/>
      <c r="H251" s="801"/>
      <c r="I251" s="801"/>
      <c r="J251" s="801"/>
      <c r="K251" s="801"/>
    </row>
    <row r="252" spans="1:11" ht="12.75" customHeight="1" x14ac:dyDescent="0.2">
      <c r="A252" s="599"/>
      <c r="B252" s="599"/>
      <c r="C252" s="599"/>
      <c r="D252" s="894"/>
      <c r="E252" s="895"/>
      <c r="F252" s="895"/>
      <c r="G252" s="895"/>
      <c r="H252" s="801"/>
      <c r="I252" s="801"/>
      <c r="J252" s="801"/>
      <c r="K252" s="801"/>
    </row>
    <row r="253" spans="1:11" ht="12.75" customHeight="1" x14ac:dyDescent="0.2">
      <c r="A253" s="599"/>
      <c r="B253" s="599"/>
      <c r="C253" s="599"/>
      <c r="D253" s="894"/>
      <c r="E253" s="895" t="s">
        <v>467</v>
      </c>
      <c r="F253" s="895"/>
      <c r="G253" s="895"/>
      <c r="H253" s="800"/>
      <c r="I253" s="800"/>
      <c r="J253" s="800"/>
      <c r="K253" s="800"/>
    </row>
    <row r="254" spans="1:11" ht="12.75" customHeight="1" x14ac:dyDescent="0.2">
      <c r="A254" s="600"/>
      <c r="B254" s="600"/>
      <c r="C254" s="600"/>
      <c r="D254" s="894"/>
      <c r="E254" s="895"/>
      <c r="F254" s="895"/>
      <c r="G254" s="895"/>
      <c r="H254" s="800"/>
      <c r="I254" s="800"/>
      <c r="J254" s="800"/>
      <c r="K254" s="800"/>
    </row>
    <row r="255" spans="1:11" ht="12.75" customHeight="1" x14ac:dyDescent="0.2">
      <c r="A255" s="598" t="s">
        <v>731</v>
      </c>
      <c r="B255" s="598" t="s">
        <v>468</v>
      </c>
      <c r="C255" s="598" t="s">
        <v>153</v>
      </c>
      <c r="D255" s="896" t="s">
        <v>456</v>
      </c>
      <c r="E255" s="897" t="s">
        <v>469</v>
      </c>
      <c r="F255" s="897"/>
      <c r="G255" s="897"/>
      <c r="H255" s="800"/>
      <c r="I255" s="800"/>
      <c r="J255" s="800"/>
      <c r="K255" s="800"/>
    </row>
    <row r="256" spans="1:11" ht="12.75" customHeight="1" x14ac:dyDescent="0.2">
      <c r="A256" s="599"/>
      <c r="B256" s="599"/>
      <c r="C256" s="599"/>
      <c r="D256" s="896"/>
      <c r="E256" s="897"/>
      <c r="F256" s="897"/>
      <c r="G256" s="897"/>
      <c r="H256" s="800"/>
      <c r="I256" s="800"/>
      <c r="J256" s="800"/>
      <c r="K256" s="800"/>
    </row>
    <row r="257" spans="1:11" ht="12.75" customHeight="1" x14ac:dyDescent="0.2">
      <c r="A257" s="599"/>
      <c r="B257" s="599"/>
      <c r="C257" s="599"/>
      <c r="D257" s="896"/>
      <c r="E257" s="897"/>
      <c r="F257" s="897"/>
      <c r="G257" s="897"/>
      <c r="H257" s="800"/>
      <c r="I257" s="800"/>
      <c r="J257" s="800"/>
      <c r="K257" s="800"/>
    </row>
    <row r="258" spans="1:11" ht="12.75" customHeight="1" x14ac:dyDescent="0.2">
      <c r="A258" s="599"/>
      <c r="B258" s="599"/>
      <c r="C258" s="599"/>
      <c r="D258" s="896"/>
      <c r="E258" s="897"/>
      <c r="F258" s="897"/>
      <c r="G258" s="897"/>
      <c r="H258" s="800"/>
      <c r="I258" s="800"/>
      <c r="J258" s="800"/>
      <c r="K258" s="800"/>
    </row>
    <row r="259" spans="1:11" ht="12.75" customHeight="1" x14ac:dyDescent="0.2">
      <c r="A259" s="600"/>
      <c r="B259" s="600"/>
      <c r="C259" s="600"/>
      <c r="D259" s="896"/>
      <c r="E259" s="897"/>
      <c r="F259" s="897"/>
      <c r="G259" s="897"/>
      <c r="H259" s="800"/>
      <c r="I259" s="800"/>
      <c r="J259" s="800"/>
      <c r="K259" s="800"/>
    </row>
  </sheetData>
  <sheetProtection algorithmName="SHA-512" hashValue="p/4cUf8e1WzOCEqDL7qkViRq99w6VuowwHOOYIOEV3z7ZqPgNH20/rfCc7rjIEYd5hoID4F6aXaB5MVY9A9eyA==" saltValue="OWP0aQU1BtYKdleUScbU1w==" spinCount="100000" sheet="1" objects="1" scenarios="1"/>
  <mergeCells count="441">
    <mergeCell ref="H255:K259"/>
    <mergeCell ref="D248:D254"/>
    <mergeCell ref="E248:G252"/>
    <mergeCell ref="H248:K252"/>
    <mergeCell ref="E253:G254"/>
    <mergeCell ref="H253:K254"/>
    <mergeCell ref="A255:A259"/>
    <mergeCell ref="B255:B259"/>
    <mergeCell ref="C255:C259"/>
    <mergeCell ref="D255:D259"/>
    <mergeCell ref="E255:G259"/>
    <mergeCell ref="A222:K222"/>
    <mergeCell ref="D223:K223"/>
    <mergeCell ref="A224:A254"/>
    <mergeCell ref="B224:B254"/>
    <mergeCell ref="C224:C254"/>
    <mergeCell ref="D224:D228"/>
    <mergeCell ref="E224:G228"/>
    <mergeCell ref="H224:K228"/>
    <mergeCell ref="D229:D233"/>
    <mergeCell ref="E229:G233"/>
    <mergeCell ref="H229:K233"/>
    <mergeCell ref="D234:D247"/>
    <mergeCell ref="E234:G238"/>
    <mergeCell ref="H234:K238"/>
    <mergeCell ref="E239:G240"/>
    <mergeCell ref="H239:K240"/>
    <mergeCell ref="E241:G245"/>
    <mergeCell ref="H241:K245"/>
    <mergeCell ref="E246:G247"/>
    <mergeCell ref="H246:K247"/>
    <mergeCell ref="A214:B214"/>
    <mergeCell ref="A215:B216"/>
    <mergeCell ref="C215:K216"/>
    <mergeCell ref="A217:B218"/>
    <mergeCell ref="C217:K218"/>
    <mergeCell ref="A219:B220"/>
    <mergeCell ref="C219:K220"/>
    <mergeCell ref="A211:B211"/>
    <mergeCell ref="C211:E211"/>
    <mergeCell ref="F211:H211"/>
    <mergeCell ref="I211:K211"/>
    <mergeCell ref="A212:B212"/>
    <mergeCell ref="C212:E212"/>
    <mergeCell ref="F212:H212"/>
    <mergeCell ref="I212:K212"/>
    <mergeCell ref="C209:E209"/>
    <mergeCell ref="F209:H209"/>
    <mergeCell ref="I209:K209"/>
    <mergeCell ref="A210:B210"/>
    <mergeCell ref="C210:E210"/>
    <mergeCell ref="F210:H210"/>
    <mergeCell ref="I210:K210"/>
    <mergeCell ref="G204:G207"/>
    <mergeCell ref="H204:H207"/>
    <mergeCell ref="I204:I207"/>
    <mergeCell ref="K204:K207"/>
    <mergeCell ref="C208:D208"/>
    <mergeCell ref="A204:A207"/>
    <mergeCell ref="B204:B207"/>
    <mergeCell ref="C204:C207"/>
    <mergeCell ref="D204:D207"/>
    <mergeCell ref="E204:E207"/>
    <mergeCell ref="F204:F207"/>
    <mergeCell ref="G199:G202"/>
    <mergeCell ref="H199:H202"/>
    <mergeCell ref="I199:I202"/>
    <mergeCell ref="K199:K202"/>
    <mergeCell ref="A203:K203"/>
    <mergeCell ref="A199:A202"/>
    <mergeCell ref="B199:B202"/>
    <mergeCell ref="C199:C202"/>
    <mergeCell ref="D199:D202"/>
    <mergeCell ref="E199:E202"/>
    <mergeCell ref="F199:F202"/>
    <mergeCell ref="F195:F198"/>
    <mergeCell ref="G195:G198"/>
    <mergeCell ref="H195:H198"/>
    <mergeCell ref="I195:I198"/>
    <mergeCell ref="K195:K198"/>
    <mergeCell ref="G191:G194"/>
    <mergeCell ref="H191:H194"/>
    <mergeCell ref="I191:I194"/>
    <mergeCell ref="K191:K194"/>
    <mergeCell ref="F191:F194"/>
    <mergeCell ref="A195:A198"/>
    <mergeCell ref="B195:B198"/>
    <mergeCell ref="C195:C198"/>
    <mergeCell ref="D195:D198"/>
    <mergeCell ref="E195:E198"/>
    <mergeCell ref="A191:A194"/>
    <mergeCell ref="B191:B194"/>
    <mergeCell ref="C191:C194"/>
    <mergeCell ref="D191:D194"/>
    <mergeCell ref="E191:E194"/>
    <mergeCell ref="F187:F190"/>
    <mergeCell ref="G187:G190"/>
    <mergeCell ref="H187:H190"/>
    <mergeCell ref="I187:I190"/>
    <mergeCell ref="K187:K190"/>
    <mergeCell ref="G183:G186"/>
    <mergeCell ref="H183:H186"/>
    <mergeCell ref="I183:I186"/>
    <mergeCell ref="K183:K186"/>
    <mergeCell ref="F183:F186"/>
    <mergeCell ref="A187:A190"/>
    <mergeCell ref="B187:B190"/>
    <mergeCell ref="C187:C190"/>
    <mergeCell ref="D187:D190"/>
    <mergeCell ref="E187:E190"/>
    <mergeCell ref="A183:A186"/>
    <mergeCell ref="B183:B186"/>
    <mergeCell ref="C183:C186"/>
    <mergeCell ref="D183:D186"/>
    <mergeCell ref="E183:E186"/>
    <mergeCell ref="F179:F182"/>
    <mergeCell ref="G179:G182"/>
    <mergeCell ref="H179:H182"/>
    <mergeCell ref="I179:I182"/>
    <mergeCell ref="K179:K182"/>
    <mergeCell ref="G175:G178"/>
    <mergeCell ref="H175:H178"/>
    <mergeCell ref="I175:I178"/>
    <mergeCell ref="K175:K178"/>
    <mergeCell ref="F175:F178"/>
    <mergeCell ref="A179:A182"/>
    <mergeCell ref="B179:B182"/>
    <mergeCell ref="C179:C182"/>
    <mergeCell ref="D179:D182"/>
    <mergeCell ref="E179:E182"/>
    <mergeCell ref="A175:A178"/>
    <mergeCell ref="B175:B178"/>
    <mergeCell ref="C175:C178"/>
    <mergeCell ref="D175:D178"/>
    <mergeCell ref="E175:E178"/>
    <mergeCell ref="F171:F174"/>
    <mergeCell ref="G171:G174"/>
    <mergeCell ref="H171:H174"/>
    <mergeCell ref="I171:I174"/>
    <mergeCell ref="K171:K174"/>
    <mergeCell ref="G167:G170"/>
    <mergeCell ref="H167:H170"/>
    <mergeCell ref="I167:I170"/>
    <mergeCell ref="K167:K170"/>
    <mergeCell ref="F167:F170"/>
    <mergeCell ref="A171:A174"/>
    <mergeCell ref="B171:B174"/>
    <mergeCell ref="C171:C174"/>
    <mergeCell ref="D171:D174"/>
    <mergeCell ref="E171:E174"/>
    <mergeCell ref="A167:A170"/>
    <mergeCell ref="B167:B170"/>
    <mergeCell ref="C167:C170"/>
    <mergeCell ref="D167:D170"/>
    <mergeCell ref="E167:E170"/>
    <mergeCell ref="G160:G165"/>
    <mergeCell ref="H160:H165"/>
    <mergeCell ref="I160:I165"/>
    <mergeCell ref="J160:J165"/>
    <mergeCell ref="K160:K165"/>
    <mergeCell ref="A166:K166"/>
    <mergeCell ref="A160:A165"/>
    <mergeCell ref="B160:B165"/>
    <mergeCell ref="C160:C165"/>
    <mergeCell ref="D160:D165"/>
    <mergeCell ref="E160:E165"/>
    <mergeCell ref="F160:F165"/>
    <mergeCell ref="F156:F159"/>
    <mergeCell ref="G156:G159"/>
    <mergeCell ref="H156:H159"/>
    <mergeCell ref="I156:I159"/>
    <mergeCell ref="J156:J159"/>
    <mergeCell ref="K156:K159"/>
    <mergeCell ref="G152:G155"/>
    <mergeCell ref="H152:H155"/>
    <mergeCell ref="I152:I155"/>
    <mergeCell ref="J152:J155"/>
    <mergeCell ref="K152:K155"/>
    <mergeCell ref="F152:F155"/>
    <mergeCell ref="A156:A159"/>
    <mergeCell ref="B156:B159"/>
    <mergeCell ref="C156:C159"/>
    <mergeCell ref="D156:D159"/>
    <mergeCell ref="E156:E159"/>
    <mergeCell ref="A152:A155"/>
    <mergeCell ref="B152:B155"/>
    <mergeCell ref="C152:C155"/>
    <mergeCell ref="D152:D155"/>
    <mergeCell ref="E152:E155"/>
    <mergeCell ref="F148:F151"/>
    <mergeCell ref="G148:G151"/>
    <mergeCell ref="H148:H151"/>
    <mergeCell ref="I148:I151"/>
    <mergeCell ref="J148:J151"/>
    <mergeCell ref="K148:K151"/>
    <mergeCell ref="G144:G147"/>
    <mergeCell ref="H144:H147"/>
    <mergeCell ref="I144:I147"/>
    <mergeCell ref="J144:J147"/>
    <mergeCell ref="K144:K147"/>
    <mergeCell ref="F144:F147"/>
    <mergeCell ref="A148:A151"/>
    <mergeCell ref="B148:B151"/>
    <mergeCell ref="C148:C151"/>
    <mergeCell ref="D148:D151"/>
    <mergeCell ref="E148:E151"/>
    <mergeCell ref="A144:A147"/>
    <mergeCell ref="B144:B147"/>
    <mergeCell ref="C144:C147"/>
    <mergeCell ref="D144:D147"/>
    <mergeCell ref="E144:E147"/>
    <mergeCell ref="F140:F143"/>
    <mergeCell ref="G140:G143"/>
    <mergeCell ref="H140:H143"/>
    <mergeCell ref="I140:I143"/>
    <mergeCell ref="J140:J143"/>
    <mergeCell ref="K140:K143"/>
    <mergeCell ref="G136:G139"/>
    <mergeCell ref="H136:H139"/>
    <mergeCell ref="I136:I139"/>
    <mergeCell ref="J136:J139"/>
    <mergeCell ref="K136:K139"/>
    <mergeCell ref="F136:F139"/>
    <mergeCell ref="A140:A143"/>
    <mergeCell ref="B140:B143"/>
    <mergeCell ref="C140:C143"/>
    <mergeCell ref="D140:D143"/>
    <mergeCell ref="E140:E143"/>
    <mergeCell ref="A136:A139"/>
    <mergeCell ref="B136:B139"/>
    <mergeCell ref="C136:C139"/>
    <mergeCell ref="D136:D139"/>
    <mergeCell ref="E136:E139"/>
    <mergeCell ref="F132:F135"/>
    <mergeCell ref="G132:G135"/>
    <mergeCell ref="H132:H135"/>
    <mergeCell ref="I132:I135"/>
    <mergeCell ref="J132:J135"/>
    <mergeCell ref="K132:K135"/>
    <mergeCell ref="G128:G131"/>
    <mergeCell ref="H128:H131"/>
    <mergeCell ref="I128:I131"/>
    <mergeCell ref="J128:J131"/>
    <mergeCell ref="K128:K131"/>
    <mergeCell ref="F128:F131"/>
    <mergeCell ref="A132:A135"/>
    <mergeCell ref="B132:B135"/>
    <mergeCell ref="C132:C135"/>
    <mergeCell ref="D132:D135"/>
    <mergeCell ref="E132:E135"/>
    <mergeCell ref="A128:A131"/>
    <mergeCell ref="B128:B131"/>
    <mergeCell ref="C128:C131"/>
    <mergeCell ref="D128:D131"/>
    <mergeCell ref="E128:E131"/>
    <mergeCell ref="F124:F127"/>
    <mergeCell ref="G124:G127"/>
    <mergeCell ref="H124:H127"/>
    <mergeCell ref="I124:I127"/>
    <mergeCell ref="J124:J127"/>
    <mergeCell ref="K124:K127"/>
    <mergeCell ref="G120:G123"/>
    <mergeCell ref="H120:H123"/>
    <mergeCell ref="I120:I123"/>
    <mergeCell ref="J120:J123"/>
    <mergeCell ref="K120:K123"/>
    <mergeCell ref="F120:F123"/>
    <mergeCell ref="A124:A127"/>
    <mergeCell ref="B124:B127"/>
    <mergeCell ref="C124:C127"/>
    <mergeCell ref="D124:D127"/>
    <mergeCell ref="E124:E127"/>
    <mergeCell ref="A120:A123"/>
    <mergeCell ref="B120:B123"/>
    <mergeCell ref="C120:C123"/>
    <mergeCell ref="D120:D123"/>
    <mergeCell ref="E120:E123"/>
    <mergeCell ref="F116:F119"/>
    <mergeCell ref="G116:G119"/>
    <mergeCell ref="H116:H119"/>
    <mergeCell ref="I116:I119"/>
    <mergeCell ref="J116:J119"/>
    <mergeCell ref="K116:K119"/>
    <mergeCell ref="G112:G115"/>
    <mergeCell ref="H112:H115"/>
    <mergeCell ref="I112:I115"/>
    <mergeCell ref="J112:J115"/>
    <mergeCell ref="K112:K115"/>
    <mergeCell ref="F112:F115"/>
    <mergeCell ref="A116:A119"/>
    <mergeCell ref="B116:B119"/>
    <mergeCell ref="C116:C119"/>
    <mergeCell ref="D116:D119"/>
    <mergeCell ref="E116:E119"/>
    <mergeCell ref="A112:A115"/>
    <mergeCell ref="B112:B115"/>
    <mergeCell ref="C112:C115"/>
    <mergeCell ref="D112:D115"/>
    <mergeCell ref="E112:E115"/>
    <mergeCell ref="J96:J99"/>
    <mergeCell ref="K96:K99"/>
    <mergeCell ref="A108:A111"/>
    <mergeCell ref="B108:B111"/>
    <mergeCell ref="C108:C111"/>
    <mergeCell ref="D108:D111"/>
    <mergeCell ref="E108:E111"/>
    <mergeCell ref="A104:A107"/>
    <mergeCell ref="B104:B107"/>
    <mergeCell ref="C104:C107"/>
    <mergeCell ref="D104:D107"/>
    <mergeCell ref="E104:E107"/>
    <mergeCell ref="F108:F111"/>
    <mergeCell ref="G108:G111"/>
    <mergeCell ref="H108:H111"/>
    <mergeCell ref="I108:I111"/>
    <mergeCell ref="J108:J111"/>
    <mergeCell ref="K108:K111"/>
    <mergeCell ref="G104:G107"/>
    <mergeCell ref="H104:H107"/>
    <mergeCell ref="I104:I107"/>
    <mergeCell ref="J104:J107"/>
    <mergeCell ref="K104:K107"/>
    <mergeCell ref="F104:F107"/>
    <mergeCell ref="A100:A103"/>
    <mergeCell ref="B100:B103"/>
    <mergeCell ref="C100:C103"/>
    <mergeCell ref="D100:D103"/>
    <mergeCell ref="E100:E103"/>
    <mergeCell ref="H92:H95"/>
    <mergeCell ref="I92:I95"/>
    <mergeCell ref="J92:J95"/>
    <mergeCell ref="K92:K95"/>
    <mergeCell ref="A96:A99"/>
    <mergeCell ref="B96:B99"/>
    <mergeCell ref="C96:C99"/>
    <mergeCell ref="D96:D99"/>
    <mergeCell ref="E96:E99"/>
    <mergeCell ref="F96:F99"/>
    <mergeCell ref="F100:F103"/>
    <mergeCell ref="G100:G103"/>
    <mergeCell ref="H100:H103"/>
    <mergeCell ref="I100:I103"/>
    <mergeCell ref="J100:J103"/>
    <mergeCell ref="K100:K103"/>
    <mergeCell ref="G96:G99"/>
    <mergeCell ref="H96:H99"/>
    <mergeCell ref="I96:I99"/>
    <mergeCell ref="J88:J91"/>
    <mergeCell ref="K88:K91"/>
    <mergeCell ref="A92:A95"/>
    <mergeCell ref="B92:B95"/>
    <mergeCell ref="C92:C95"/>
    <mergeCell ref="D92:D95"/>
    <mergeCell ref="E92:E95"/>
    <mergeCell ref="F92:F95"/>
    <mergeCell ref="G92:G95"/>
    <mergeCell ref="A88:A91"/>
    <mergeCell ref="B88:B91"/>
    <mergeCell ref="C88:C91"/>
    <mergeCell ref="D88:D91"/>
    <mergeCell ref="E88:E91"/>
    <mergeCell ref="F88:F91"/>
    <mergeCell ref="G88:G91"/>
    <mergeCell ref="H88:H91"/>
    <mergeCell ref="I88:I91"/>
    <mergeCell ref="A83:K83"/>
    <mergeCell ref="A84:A87"/>
    <mergeCell ref="B84:B87"/>
    <mergeCell ref="C84:C87"/>
    <mergeCell ref="D84:D87"/>
    <mergeCell ref="E84:E87"/>
    <mergeCell ref="F84:F87"/>
    <mergeCell ref="G84:G87"/>
    <mergeCell ref="H84:H87"/>
    <mergeCell ref="I84:I87"/>
    <mergeCell ref="J84:J87"/>
    <mergeCell ref="K84:K87"/>
    <mergeCell ref="F79:F82"/>
    <mergeCell ref="G79:G82"/>
    <mergeCell ref="H79:H82"/>
    <mergeCell ref="I79:I82"/>
    <mergeCell ref="J79:J82"/>
    <mergeCell ref="K79:K82"/>
    <mergeCell ref="A75:B77"/>
    <mergeCell ref="C75:E77"/>
    <mergeCell ref="F75:H77"/>
    <mergeCell ref="I75:K77"/>
    <mergeCell ref="A79:A82"/>
    <mergeCell ref="B79:B82"/>
    <mergeCell ref="C79:C82"/>
    <mergeCell ref="D79:D82"/>
    <mergeCell ref="E79:E82"/>
    <mergeCell ref="A72:B72"/>
    <mergeCell ref="C72:E72"/>
    <mergeCell ref="F72:H72"/>
    <mergeCell ref="I72:K72"/>
    <mergeCell ref="A73:B74"/>
    <mergeCell ref="C73:E74"/>
    <mergeCell ref="F73:H74"/>
    <mergeCell ref="I73:K74"/>
    <mergeCell ref="A37:B70"/>
    <mergeCell ref="C37:E70"/>
    <mergeCell ref="F37:H70"/>
    <mergeCell ref="I37:K70"/>
    <mergeCell ref="A71:B71"/>
    <mergeCell ref="C71:E71"/>
    <mergeCell ref="F71:H71"/>
    <mergeCell ref="I71:K71"/>
    <mergeCell ref="A29:B33"/>
    <mergeCell ref="C29:K33"/>
    <mergeCell ref="C35:E35"/>
    <mergeCell ref="F35:H35"/>
    <mergeCell ref="I35:K35"/>
    <mergeCell ref="A36:B36"/>
    <mergeCell ref="C36:E36"/>
    <mergeCell ref="F36:H36"/>
    <mergeCell ref="I36:K36"/>
    <mergeCell ref="A26:B26"/>
    <mergeCell ref="C26:K26"/>
    <mergeCell ref="A27:B27"/>
    <mergeCell ref="C27:K27"/>
    <mergeCell ref="A28:B28"/>
    <mergeCell ref="C28:K28"/>
    <mergeCell ref="A23:B23"/>
    <mergeCell ref="C23:K23"/>
    <mergeCell ref="A24:B24"/>
    <mergeCell ref="C24:K24"/>
    <mergeCell ref="A25:B25"/>
    <mergeCell ref="C25:K25"/>
    <mergeCell ref="A11:B14"/>
    <mergeCell ref="C11:K14"/>
    <mergeCell ref="A16:B21"/>
    <mergeCell ref="C16:K21"/>
    <mergeCell ref="A22:B22"/>
    <mergeCell ref="C22:K22"/>
    <mergeCell ref="A8:B8"/>
    <mergeCell ref="C8:K8"/>
    <mergeCell ref="A9:B9"/>
    <mergeCell ref="C9:K9"/>
    <mergeCell ref="A10:B10"/>
    <mergeCell ref="C10:K10"/>
  </mergeCells>
  <conditionalFormatting sqref="H239">
    <cfRule type="containsText" dxfId="182" priority="7" operator="containsText" text="Yes">
      <formula>NOT(ISERROR(SEARCH("Yes",H239)))</formula>
    </cfRule>
    <cfRule type="containsText" dxfId="181" priority="8" operator="containsText" text="No">
      <formula>NOT(ISERROR(SEARCH("No",H239)))</formula>
    </cfRule>
    <cfRule type="containsText" dxfId="180" priority="9" operator="containsText" text="N/A">
      <formula>NOT(ISERROR(SEARCH("N/A",H239)))</formula>
    </cfRule>
  </conditionalFormatting>
  <conditionalFormatting sqref="H246">
    <cfRule type="containsText" dxfId="179" priority="4" operator="containsText" text="Yes">
      <formula>NOT(ISERROR(SEARCH("Yes",H246)))</formula>
    </cfRule>
    <cfRule type="containsText" dxfId="178" priority="5" operator="containsText" text="No">
      <formula>NOT(ISERROR(SEARCH("No",H246)))</formula>
    </cfRule>
    <cfRule type="containsText" dxfId="177" priority="6" operator="containsText" text="N/A">
      <formula>NOT(ISERROR(SEARCH("N/A",H246)))</formula>
    </cfRule>
  </conditionalFormatting>
  <conditionalFormatting sqref="H253">
    <cfRule type="containsText" dxfId="176" priority="1" operator="containsText" text="Yes">
      <formula>NOT(ISERROR(SEARCH("Yes",H253)))</formula>
    </cfRule>
    <cfRule type="containsText" dxfId="175" priority="2" operator="containsText" text="No">
      <formula>NOT(ISERROR(SEARCH("No",H253)))</formula>
    </cfRule>
    <cfRule type="containsText" dxfId="174" priority="3" operator="containsText" text="N/A">
      <formula>NOT(ISERROR(SEARCH("N/A",H253)))</formula>
    </cfRule>
  </conditionalFormatting>
  <pageMargins left="0.7" right="0.7" top="0.75" bottom="0.75" header="0.3" footer="0.3"/>
  <pageSetup scale="49" fitToHeight="0" orientation="landscape" r:id="rId1"/>
  <drawing r:id="rId2"/>
  <legacyDrawing r:id="rId3"/>
  <controls>
    <mc:AlternateContent xmlns:mc="http://schemas.openxmlformats.org/markup-compatibility/2006">
      <mc:Choice Requires="x14">
        <control shapeId="15361"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5361" r:id="rId4" name="backMenuBtn"/>
      </mc:Fallback>
    </mc:AlternateContent>
    <mc:AlternateContent xmlns:mc="http://schemas.openxmlformats.org/markup-compatibility/2006">
      <mc:Choice Requires="x14">
        <control shapeId="15362" r:id="rId6" name="CommandButton1">
          <controlPr defaultSize="0" autoLine="0" r:id="rId7">
            <anchor moveWithCells="1">
              <from>
                <xdr:col>1</xdr:col>
                <xdr:colOff>638175</xdr:colOff>
                <xdr:row>0</xdr:row>
                <xdr:rowOff>0</xdr:rowOff>
              </from>
              <to>
                <xdr:col>1</xdr:col>
                <xdr:colOff>1828800</xdr:colOff>
                <xdr:row>1</xdr:row>
                <xdr:rowOff>114300</xdr:rowOff>
              </to>
            </anchor>
          </controlPr>
        </control>
      </mc:Choice>
      <mc:Fallback>
        <control shapeId="15362" r:id="rId6" name="CommandButton1"/>
      </mc:Fallback>
    </mc:AlternateContent>
    <mc:AlternateContent xmlns:mc="http://schemas.openxmlformats.org/markup-compatibility/2006">
      <mc:Choice Requires="x14">
        <control shapeId="15363" r:id="rId8" name="CommandButton2">
          <controlPr defaultSize="0" autoLine="0" r:id="rId9">
            <anchor moveWithCells="1">
              <from>
                <xdr:col>0</xdr:col>
                <xdr:colOff>1352550</xdr:colOff>
                <xdr:row>0</xdr:row>
                <xdr:rowOff>9525</xdr:rowOff>
              </from>
              <to>
                <xdr:col>1</xdr:col>
                <xdr:colOff>504825</xdr:colOff>
                <xdr:row>1</xdr:row>
                <xdr:rowOff>123825</xdr:rowOff>
              </to>
            </anchor>
          </controlPr>
        </control>
      </mc:Choice>
      <mc:Fallback>
        <control shapeId="15363"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Dropdown!$H$2:$H$13</xm:f>
          </x14:formula1>
          <xm:sqref>C75:K77 C212:K212</xm:sqref>
        </x14:dataValidation>
        <x14:dataValidation type="list" allowBlank="1" showInputMessage="1" showErrorMessage="1">
          <x14:formula1>
            <xm:f>Dropdown!$I$2:$I$5</xm:f>
          </x14:formula1>
          <xm:sqref>H239:K240 H246:K247 H253:K254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B050"/>
    <pageSetUpPr fitToPage="1"/>
  </sheetPr>
  <dimension ref="A1:H115"/>
  <sheetViews>
    <sheetView showGridLines="0" zoomScale="75" zoomScaleNormal="75" zoomScalePageLayoutView="60" workbookViewId="0">
      <pane xSplit="2" ySplit="13" topLeftCell="C14" activePane="bottomRight" state="frozen"/>
      <selection activeCell="C156" sqref="C156"/>
      <selection pane="topRight" activeCell="C156" sqref="C156"/>
      <selection pane="bottomLeft" activeCell="C156" sqref="C156"/>
      <selection pane="bottomRight" activeCell="C156" sqref="C156"/>
    </sheetView>
  </sheetViews>
  <sheetFormatPr defaultColWidth="9.42578125" defaultRowHeight="12.75" customHeight="1" outlineLevelRow="1" x14ac:dyDescent="0.2"/>
  <cols>
    <col min="1" max="8" width="30.5703125" style="267" customWidth="1"/>
    <col min="9" max="9" width="1.5703125" style="267" customWidth="1"/>
    <col min="10" max="16384" width="9.42578125" style="267"/>
  </cols>
  <sheetData>
    <row r="1" spans="1:8" ht="12.75" customHeight="1" x14ac:dyDescent="0.2">
      <c r="A1" s="267" t="s">
        <v>761</v>
      </c>
    </row>
    <row r="3" spans="1:8" ht="12.75" customHeight="1" outlineLevel="1" x14ac:dyDescent="0.2">
      <c r="A3" s="266" t="str">
        <f>Narrative!A3</f>
        <v>ViewRay</v>
      </c>
    </row>
    <row r="4" spans="1:8" ht="12.75" customHeight="1" outlineLevel="1" x14ac:dyDescent="0.2">
      <c r="A4" s="268" t="s">
        <v>394</v>
      </c>
    </row>
    <row r="5" spans="1:8" ht="12.75" customHeight="1" outlineLevel="1" x14ac:dyDescent="0.2">
      <c r="A5" s="266" t="str">
        <f>Narrative!A5</f>
        <v>Financial Close and Reporting (FCR)</v>
      </c>
    </row>
    <row r="6" spans="1:8" ht="12.75" customHeight="1" outlineLevel="1" x14ac:dyDescent="0.2">
      <c r="A6" s="266" t="str">
        <f>Narrative!A6</f>
        <v>FY 2019</v>
      </c>
    </row>
    <row r="7" spans="1:8" ht="12.75" customHeight="1" outlineLevel="1" x14ac:dyDescent="0.2">
      <c r="A7" s="269"/>
      <c r="B7" s="269"/>
      <c r="C7" s="270"/>
      <c r="D7" s="270"/>
      <c r="E7" s="270"/>
      <c r="F7" s="270"/>
      <c r="G7" s="270"/>
      <c r="H7" s="271"/>
    </row>
    <row r="8" spans="1:8" ht="12.75" customHeight="1" x14ac:dyDescent="0.2">
      <c r="A8" s="473" t="s">
        <v>395</v>
      </c>
      <c r="B8" s="474"/>
      <c r="C8" s="470" t="str">
        <f>RCM!A11</f>
        <v>FCR</v>
      </c>
      <c r="D8" s="471"/>
      <c r="E8" s="471"/>
      <c r="F8" s="471"/>
      <c r="G8" s="471"/>
      <c r="H8" s="472"/>
    </row>
    <row r="9" spans="1:8" ht="12.75" customHeight="1" x14ac:dyDescent="0.2">
      <c r="A9" s="466" t="s">
        <v>396</v>
      </c>
      <c r="B9" s="475"/>
      <c r="C9" s="470" t="str">
        <f>VLOOKUP($C$10,RCM!J:X,4,0)</f>
        <v>Corporate Controller</v>
      </c>
      <c r="D9" s="471"/>
      <c r="E9" s="471"/>
      <c r="F9" s="471"/>
      <c r="G9" s="471"/>
      <c r="H9" s="472"/>
    </row>
    <row r="10" spans="1:8" ht="12.75" customHeight="1" x14ac:dyDescent="0.2">
      <c r="A10" s="459" t="s">
        <v>397</v>
      </c>
      <c r="B10" s="476"/>
      <c r="C10" s="470" t="str">
        <f>RCM!J18</f>
        <v>FCR 4.04</v>
      </c>
      <c r="D10" s="471"/>
      <c r="E10" s="471"/>
      <c r="F10" s="471"/>
      <c r="G10" s="471"/>
      <c r="H10" s="472"/>
    </row>
    <row r="11" spans="1:8" ht="12.75" customHeight="1" x14ac:dyDescent="0.2">
      <c r="A11" s="459" t="s">
        <v>398</v>
      </c>
      <c r="B11" s="459"/>
      <c r="C11" s="460" t="str">
        <f>VLOOKUP($C$10,RCM!J:X,2,0)</f>
        <v>Monthly, the Corporate Controller reviews all account reconciliations against the trial balance to ensure the completeness of the month end reconciliations and to ensure that all activity for the period has been properly reviewed.  The final trial balance is signed off and dated by the Corporate Controller, along with any notes, to evidence the review and approval.</v>
      </c>
      <c r="D11" s="461"/>
      <c r="E11" s="461"/>
      <c r="F11" s="461"/>
      <c r="G11" s="461"/>
      <c r="H11" s="462"/>
    </row>
    <row r="12" spans="1:8" ht="12.75" customHeight="1" x14ac:dyDescent="0.2">
      <c r="A12" s="459"/>
      <c r="B12" s="459"/>
      <c r="C12" s="467"/>
      <c r="D12" s="468"/>
      <c r="E12" s="468"/>
      <c r="F12" s="468"/>
      <c r="G12" s="468"/>
      <c r="H12" s="469"/>
    </row>
    <row r="13" spans="1:8" ht="12.75" customHeight="1" x14ac:dyDescent="0.2">
      <c r="A13" s="459"/>
      <c r="B13" s="459"/>
      <c r="C13" s="463" t="e">
        <v>#N/A</v>
      </c>
      <c r="D13" s="464"/>
      <c r="E13" s="464"/>
      <c r="F13" s="464"/>
      <c r="G13" s="464"/>
      <c r="H13" s="465"/>
    </row>
    <row r="14" spans="1:8" ht="12.75" customHeight="1" x14ac:dyDescent="0.2">
      <c r="A14" s="272"/>
      <c r="B14" s="273"/>
      <c r="C14" s="274"/>
      <c r="D14" s="274"/>
      <c r="E14" s="274"/>
      <c r="F14" s="274"/>
      <c r="G14" s="274"/>
      <c r="H14" s="271"/>
    </row>
    <row r="15" spans="1:8" ht="12.75" customHeight="1" x14ac:dyDescent="0.2">
      <c r="A15" s="466" t="s">
        <v>399</v>
      </c>
      <c r="B15" s="466"/>
      <c r="C15" s="460" t="str">
        <f>VLOOKUP($C$10,RCM!J:X,12,)</f>
        <v>1. Obtain the monthly review of the TB against the reconciliations.
2. Review to ensure that all the trial balance accounts were reconciled.
3. Verify there is evidence of review and sign off by the Controller on the final trial balance.</v>
      </c>
      <c r="D15" s="461"/>
      <c r="E15" s="461"/>
      <c r="F15" s="461"/>
      <c r="G15" s="461"/>
      <c r="H15" s="462"/>
    </row>
    <row r="16" spans="1:8" ht="12.75" customHeight="1" x14ac:dyDescent="0.2">
      <c r="A16" s="466"/>
      <c r="B16" s="466"/>
      <c r="C16" s="467"/>
      <c r="D16" s="468"/>
      <c r="E16" s="468"/>
      <c r="F16" s="468"/>
      <c r="G16" s="468"/>
      <c r="H16" s="469"/>
    </row>
    <row r="17" spans="1:8" ht="12.75" customHeight="1" x14ac:dyDescent="0.2">
      <c r="A17" s="466"/>
      <c r="B17" s="466"/>
      <c r="C17" s="467"/>
      <c r="D17" s="468"/>
      <c r="E17" s="468"/>
      <c r="F17" s="468"/>
      <c r="G17" s="468"/>
      <c r="H17" s="469"/>
    </row>
    <row r="18" spans="1:8" ht="12.75" customHeight="1" x14ac:dyDescent="0.2">
      <c r="A18" s="466"/>
      <c r="B18" s="466"/>
      <c r="C18" s="463" t="e">
        <v>#N/A</v>
      </c>
      <c r="D18" s="464"/>
      <c r="E18" s="464"/>
      <c r="F18" s="464"/>
      <c r="G18" s="464"/>
      <c r="H18" s="465"/>
    </row>
    <row r="19" spans="1:8" ht="12.75" customHeight="1" x14ac:dyDescent="0.2">
      <c r="A19" s="466" t="s">
        <v>400</v>
      </c>
      <c r="B19" s="466"/>
      <c r="C19" s="470" t="str">
        <f>VLOOKUP($C$10,RCM!J:X,8,0)</f>
        <v>Inspection</v>
      </c>
      <c r="D19" s="471"/>
      <c r="E19" s="471"/>
      <c r="F19" s="471"/>
      <c r="G19" s="471"/>
      <c r="H19" s="472"/>
    </row>
    <row r="20" spans="1:8" ht="12.75" customHeight="1" x14ac:dyDescent="0.2">
      <c r="A20" s="466" t="s">
        <v>401</v>
      </c>
      <c r="B20" s="475"/>
      <c r="C20" s="470" t="str">
        <f>VLOOKUP($C$10,RCM!J:X,5,0)</f>
        <v>Monthly</v>
      </c>
      <c r="D20" s="471"/>
      <c r="E20" s="471"/>
      <c r="F20" s="471"/>
      <c r="G20" s="471"/>
      <c r="H20" s="472"/>
    </row>
    <row r="21" spans="1:8" ht="12.75" customHeight="1" x14ac:dyDescent="0.2">
      <c r="A21" s="466" t="s">
        <v>402</v>
      </c>
      <c r="B21" s="475"/>
      <c r="C21" s="709">
        <f>VLOOKUP($C$10,RCM!J:X,3,0)</f>
        <v>43525</v>
      </c>
      <c r="D21" s="709"/>
      <c r="E21" s="709"/>
      <c r="F21" s="709"/>
      <c r="G21" s="709"/>
      <c r="H21" s="709"/>
    </row>
    <row r="22" spans="1:8" s="275" customFormat="1" ht="12.75" customHeight="1" x14ac:dyDescent="0.2">
      <c r="A22" s="466" t="s">
        <v>403</v>
      </c>
      <c r="B22" s="475"/>
      <c r="C22" s="480" t="str">
        <f>VLOOKUP($C$10,RCM!J:X,10,0)</f>
        <v xml:space="preserve">Medium </v>
      </c>
      <c r="D22" s="481"/>
      <c r="E22" s="481"/>
      <c r="F22" s="481"/>
      <c r="G22" s="481"/>
      <c r="H22" s="482"/>
    </row>
    <row r="23" spans="1:8" ht="12.75" customHeight="1" x14ac:dyDescent="0.2">
      <c r="A23" s="466" t="s">
        <v>404</v>
      </c>
      <c r="B23" s="475"/>
      <c r="C23" s="477" t="str">
        <f>RCM!$AB$3</f>
        <v>1/1/19 - 6/30/19</v>
      </c>
      <c r="D23" s="478"/>
      <c r="E23" s="478"/>
      <c r="F23" s="478"/>
      <c r="G23" s="478"/>
      <c r="H23" s="479"/>
    </row>
    <row r="24" spans="1:8" ht="12.75" customHeight="1" x14ac:dyDescent="0.2">
      <c r="A24" s="466" t="s">
        <v>405</v>
      </c>
      <c r="B24" s="475"/>
      <c r="C24" s="706">
        <f>VLOOKUP(C$10,RCM!$J$9:$AG$29,20,0)</f>
        <v>12</v>
      </c>
      <c r="D24" s="707"/>
      <c r="E24" s="707"/>
      <c r="F24" s="707"/>
      <c r="G24" s="707"/>
      <c r="H24" s="708"/>
    </row>
    <row r="25" spans="1:8" ht="12.75" customHeight="1" x14ac:dyDescent="0.2">
      <c r="A25" s="466" t="s">
        <v>406</v>
      </c>
      <c r="B25" s="475"/>
      <c r="C25" s="483" t="str">
        <f>RCM!$AB$5&amp;" "&amp;VLOOKUP(C$10,RCM!$J$9:$AG$29,21,0)&amp;" "&amp;RCM!$AB$6</f>
        <v>Annual sample size: 2 (See sample size derivation below)</v>
      </c>
      <c r="D25" s="484"/>
      <c r="E25" s="484"/>
      <c r="F25" s="484"/>
      <c r="G25" s="484"/>
      <c r="H25" s="485"/>
    </row>
    <row r="26" spans="1:8" ht="12.75" customHeight="1" x14ac:dyDescent="0.2">
      <c r="A26" s="489" t="s">
        <v>407</v>
      </c>
      <c r="B26" s="490"/>
      <c r="C26" s="460" t="s">
        <v>533</v>
      </c>
      <c r="D26" s="461"/>
      <c r="E26" s="461"/>
      <c r="F26" s="461"/>
      <c r="G26" s="461"/>
      <c r="H26" s="462"/>
    </row>
    <row r="27" spans="1:8" s="275" customFormat="1" ht="12.75" customHeight="1" x14ac:dyDescent="0.2">
      <c r="A27" s="493"/>
      <c r="B27" s="494"/>
      <c r="C27" s="463"/>
      <c r="D27" s="464"/>
      <c r="E27" s="464"/>
      <c r="F27" s="464"/>
      <c r="G27" s="464"/>
      <c r="H27" s="465"/>
    </row>
    <row r="28" spans="1:8" ht="12.75" customHeight="1" x14ac:dyDescent="0.2">
      <c r="A28" s="277"/>
      <c r="B28" s="277"/>
      <c r="C28" s="278"/>
      <c r="D28" s="278"/>
      <c r="E28" s="278"/>
      <c r="F28" s="278"/>
      <c r="G28" s="278"/>
      <c r="H28" s="278"/>
    </row>
    <row r="29" spans="1:8" ht="12.75" customHeight="1" x14ac:dyDescent="0.2">
      <c r="A29" s="279"/>
      <c r="B29" s="279"/>
      <c r="C29" s="506" t="s">
        <v>409</v>
      </c>
      <c r="D29" s="507"/>
      <c r="E29" s="506" t="s">
        <v>410</v>
      </c>
      <c r="F29" s="507"/>
      <c r="G29" s="506" t="s">
        <v>411</v>
      </c>
      <c r="H29" s="507"/>
    </row>
    <row r="30" spans="1:8" ht="12.75" customHeight="1" x14ac:dyDescent="0.2">
      <c r="A30" s="508" t="s">
        <v>412</v>
      </c>
      <c r="B30" s="509"/>
      <c r="C30" s="898">
        <f>VLOOKUP($C$10,RCM!$J$9:$AG$29,22,0)</f>
        <v>1</v>
      </c>
      <c r="D30" s="511"/>
      <c r="E30" s="899">
        <f>VLOOKUP($C$10,RCM!$J$9:$AG$29,23,0)</f>
        <v>0</v>
      </c>
      <c r="F30" s="899"/>
      <c r="G30" s="899">
        <f>VLOOKUP($C$10,RCM!$J$9:$AG$29,24,0)</f>
        <v>1</v>
      </c>
      <c r="H30" s="899"/>
    </row>
    <row r="31" spans="1:8" ht="12.75" customHeight="1" outlineLevel="1" x14ac:dyDescent="0.2">
      <c r="A31" s="523" t="s">
        <v>413</v>
      </c>
      <c r="B31" s="524"/>
      <c r="C31" s="900" t="s">
        <v>643</v>
      </c>
      <c r="D31" s="901"/>
      <c r="E31" s="529"/>
      <c r="F31" s="535"/>
      <c r="G31" s="900"/>
      <c r="H31" s="900"/>
    </row>
    <row r="32" spans="1:8" ht="12.75" customHeight="1" outlineLevel="1" x14ac:dyDescent="0.2">
      <c r="A32" s="525"/>
      <c r="B32" s="526"/>
      <c r="C32" s="901"/>
      <c r="D32" s="901"/>
      <c r="E32" s="536"/>
      <c r="F32" s="537"/>
      <c r="G32" s="900"/>
      <c r="H32" s="900"/>
    </row>
    <row r="33" spans="1:8" ht="12.75" customHeight="1" outlineLevel="1" x14ac:dyDescent="0.2">
      <c r="A33" s="525"/>
      <c r="B33" s="526"/>
      <c r="C33" s="901"/>
      <c r="D33" s="901"/>
      <c r="E33" s="536"/>
      <c r="F33" s="537"/>
      <c r="G33" s="900"/>
      <c r="H33" s="900"/>
    </row>
    <row r="34" spans="1:8" ht="12.75" customHeight="1" outlineLevel="1" x14ac:dyDescent="0.2">
      <c r="A34" s="525"/>
      <c r="B34" s="526"/>
      <c r="C34" s="901"/>
      <c r="D34" s="901"/>
      <c r="E34" s="536"/>
      <c r="F34" s="537"/>
      <c r="G34" s="900"/>
      <c r="H34" s="900"/>
    </row>
    <row r="35" spans="1:8" ht="12.75" customHeight="1" outlineLevel="1" x14ac:dyDescent="0.2">
      <c r="A35" s="525"/>
      <c r="B35" s="526"/>
      <c r="C35" s="901"/>
      <c r="D35" s="901"/>
      <c r="E35" s="536"/>
      <c r="F35" s="537"/>
      <c r="G35" s="900"/>
      <c r="H35" s="900"/>
    </row>
    <row r="36" spans="1:8" ht="12.75" customHeight="1" outlineLevel="1" x14ac:dyDescent="0.2">
      <c r="A36" s="525"/>
      <c r="B36" s="526"/>
      <c r="C36" s="901"/>
      <c r="D36" s="901"/>
      <c r="E36" s="536"/>
      <c r="F36" s="537"/>
      <c r="G36" s="900"/>
      <c r="H36" s="900"/>
    </row>
    <row r="37" spans="1:8" ht="12.75" customHeight="1" outlineLevel="1" x14ac:dyDescent="0.2">
      <c r="A37" s="525"/>
      <c r="B37" s="526"/>
      <c r="C37" s="901"/>
      <c r="D37" s="901"/>
      <c r="E37" s="536"/>
      <c r="F37" s="537"/>
      <c r="G37" s="900"/>
      <c r="H37" s="900"/>
    </row>
    <row r="38" spans="1:8" ht="12.75" customHeight="1" outlineLevel="1" x14ac:dyDescent="0.2">
      <c r="A38" s="525"/>
      <c r="B38" s="526"/>
      <c r="C38" s="901"/>
      <c r="D38" s="901"/>
      <c r="E38" s="536"/>
      <c r="F38" s="537"/>
      <c r="G38" s="900"/>
      <c r="H38" s="900"/>
    </row>
    <row r="39" spans="1:8" ht="12.75" customHeight="1" outlineLevel="1" x14ac:dyDescent="0.2">
      <c r="A39" s="527"/>
      <c r="B39" s="528"/>
      <c r="C39" s="901"/>
      <c r="D39" s="901"/>
      <c r="E39" s="538"/>
      <c r="F39" s="539"/>
      <c r="G39" s="900"/>
      <c r="H39" s="900"/>
    </row>
    <row r="40" spans="1:8" ht="12.75" customHeight="1" x14ac:dyDescent="0.2">
      <c r="A40" s="512" t="s">
        <v>415</v>
      </c>
      <c r="B40" s="513"/>
      <c r="C40" s="540" t="s">
        <v>416</v>
      </c>
      <c r="D40" s="541"/>
      <c r="E40" s="540"/>
      <c r="F40" s="541"/>
      <c r="G40" s="540"/>
      <c r="H40" s="541"/>
    </row>
    <row r="41" spans="1:8" ht="12.75" customHeight="1" x14ac:dyDescent="0.2">
      <c r="A41" s="512" t="s">
        <v>417</v>
      </c>
      <c r="B41" s="513"/>
      <c r="C41" s="514">
        <v>43642</v>
      </c>
      <c r="D41" s="581"/>
      <c r="E41" s="514"/>
      <c r="F41" s="581"/>
      <c r="G41" s="514"/>
      <c r="H41" s="581"/>
    </row>
    <row r="42" spans="1:8" ht="12.75" customHeight="1" x14ac:dyDescent="0.2">
      <c r="A42" s="508" t="s">
        <v>418</v>
      </c>
      <c r="B42" s="508"/>
      <c r="C42" s="515" t="str">
        <f>VLOOKUP(C$10,'WT (WT)'!$A$8:$K$24,11,0)</f>
        <v>Effective</v>
      </c>
      <c r="D42" s="516"/>
      <c r="E42" s="515"/>
      <c r="F42" s="516"/>
      <c r="G42" s="519"/>
      <c r="H42" s="520"/>
    </row>
    <row r="43" spans="1:8" ht="12.75" customHeight="1" x14ac:dyDescent="0.2">
      <c r="A43" s="508"/>
      <c r="B43" s="508"/>
      <c r="C43" s="517"/>
      <c r="D43" s="518"/>
      <c r="E43" s="517"/>
      <c r="F43" s="518"/>
      <c r="G43" s="521"/>
      <c r="H43" s="522"/>
    </row>
    <row r="44" spans="1:8" ht="12.75" customHeight="1" x14ac:dyDescent="0.2">
      <c r="A44" s="508" t="s">
        <v>419</v>
      </c>
      <c r="B44" s="508"/>
      <c r="C44" s="519" t="s">
        <v>330</v>
      </c>
      <c r="D44" s="520"/>
      <c r="E44" s="519"/>
      <c r="F44" s="520"/>
      <c r="G44" s="519"/>
      <c r="H44" s="520"/>
    </row>
    <row r="45" spans="1:8" ht="12.75" customHeight="1" x14ac:dyDescent="0.2">
      <c r="A45" s="508"/>
      <c r="B45" s="508"/>
      <c r="C45" s="542"/>
      <c r="D45" s="543"/>
      <c r="E45" s="542"/>
      <c r="F45" s="543"/>
      <c r="G45" s="542"/>
      <c r="H45" s="543"/>
    </row>
    <row r="46" spans="1:8" ht="12.75" customHeight="1" x14ac:dyDescent="0.2">
      <c r="A46" s="508"/>
      <c r="B46" s="508"/>
      <c r="C46" s="521"/>
      <c r="D46" s="522"/>
      <c r="E46" s="521"/>
      <c r="F46" s="522"/>
      <c r="G46" s="521"/>
      <c r="H46" s="522"/>
    </row>
    <row r="47" spans="1:8" ht="12.75" customHeight="1" x14ac:dyDescent="0.2">
      <c r="A47" s="280"/>
      <c r="B47" s="280"/>
      <c r="C47" s="271"/>
      <c r="D47" s="271"/>
      <c r="E47" s="271"/>
      <c r="F47" s="271"/>
      <c r="G47" s="281"/>
      <c r="H47" s="271"/>
    </row>
    <row r="48" spans="1:8" ht="12.75" customHeight="1" x14ac:dyDescent="0.2">
      <c r="A48" s="544" t="s">
        <v>420</v>
      </c>
      <c r="B48" s="544" t="s">
        <v>535</v>
      </c>
      <c r="C48" s="544" t="s">
        <v>644</v>
      </c>
      <c r="D48" s="544" t="s">
        <v>645</v>
      </c>
      <c r="E48" s="544" t="s">
        <v>646</v>
      </c>
      <c r="F48" s="544" t="s">
        <v>647</v>
      </c>
      <c r="G48" s="544" t="s">
        <v>648</v>
      </c>
      <c r="H48" s="544" t="s">
        <v>542</v>
      </c>
    </row>
    <row r="49" spans="1:8" ht="12.75" customHeight="1" x14ac:dyDescent="0.2">
      <c r="A49" s="544"/>
      <c r="B49" s="544"/>
      <c r="C49" s="544"/>
      <c r="D49" s="544"/>
      <c r="E49" s="544"/>
      <c r="F49" s="544"/>
      <c r="G49" s="544"/>
      <c r="H49" s="544"/>
    </row>
    <row r="50" spans="1:8" ht="12.75" customHeight="1" x14ac:dyDescent="0.2">
      <c r="A50" s="544"/>
      <c r="B50" s="544"/>
      <c r="C50" s="544"/>
      <c r="D50" s="544"/>
      <c r="E50" s="544"/>
      <c r="F50" s="544"/>
      <c r="G50" s="544"/>
      <c r="H50" s="544"/>
    </row>
    <row r="51" spans="1:8" ht="12.75" customHeight="1" x14ac:dyDescent="0.2">
      <c r="A51" s="545" t="s">
        <v>428</v>
      </c>
      <c r="B51" s="546"/>
      <c r="C51" s="547"/>
      <c r="D51" s="547"/>
      <c r="E51" s="547"/>
      <c r="F51" s="547"/>
      <c r="G51" s="547"/>
      <c r="H51" s="548"/>
    </row>
    <row r="52" spans="1:8" s="287" customFormat="1" ht="12.75" customHeight="1" outlineLevel="1" x14ac:dyDescent="0.2">
      <c r="A52" s="646">
        <v>1</v>
      </c>
      <c r="B52" s="902">
        <v>43555</v>
      </c>
      <c r="C52" s="903" t="s">
        <v>279</v>
      </c>
      <c r="D52" s="646" t="s">
        <v>279</v>
      </c>
      <c r="E52" s="656" t="s">
        <v>431</v>
      </c>
      <c r="F52" s="693">
        <v>43574</v>
      </c>
      <c r="G52" s="656" t="s">
        <v>649</v>
      </c>
      <c r="H52" s="658" t="s">
        <v>432</v>
      </c>
    </row>
    <row r="53" spans="1:8" s="287" customFormat="1" ht="12.75" customHeight="1" outlineLevel="1" x14ac:dyDescent="0.2">
      <c r="A53" s="647"/>
      <c r="B53" s="647"/>
      <c r="C53" s="653"/>
      <c r="D53" s="647"/>
      <c r="E53" s="647"/>
      <c r="F53" s="647"/>
      <c r="G53" s="657"/>
      <c r="H53" s="659"/>
    </row>
    <row r="54" spans="1:8" s="287" customFormat="1" ht="12.75" customHeight="1" outlineLevel="1" x14ac:dyDescent="0.2">
      <c r="A54" s="647"/>
      <c r="B54" s="647"/>
      <c r="C54" s="653"/>
      <c r="D54" s="647"/>
      <c r="E54" s="647"/>
      <c r="F54" s="647"/>
      <c r="G54" s="657"/>
      <c r="H54" s="659"/>
    </row>
    <row r="55" spans="1:8" s="287" customFormat="1" ht="12.75" customHeight="1" outlineLevel="1" x14ac:dyDescent="0.2">
      <c r="A55" s="670"/>
      <c r="B55" s="670"/>
      <c r="C55" s="904"/>
      <c r="D55" s="670"/>
      <c r="E55" s="670"/>
      <c r="F55" s="670"/>
      <c r="G55" s="687"/>
      <c r="H55" s="737"/>
    </row>
    <row r="56" spans="1:8" ht="12.75" customHeight="1" x14ac:dyDescent="0.2">
      <c r="A56" s="545" t="s">
        <v>436</v>
      </c>
      <c r="B56" s="546"/>
      <c r="C56" s="547"/>
      <c r="D56" s="547"/>
      <c r="E56" s="547"/>
      <c r="F56" s="547"/>
      <c r="G56" s="547"/>
      <c r="H56" s="548"/>
    </row>
    <row r="57" spans="1:8" ht="12.75" customHeight="1" outlineLevel="1" x14ac:dyDescent="0.2">
      <c r="A57" s="549"/>
      <c r="B57" s="905"/>
      <c r="C57" s="552"/>
      <c r="D57" s="552"/>
      <c r="E57" s="552"/>
      <c r="F57" s="552"/>
      <c r="G57" s="552"/>
      <c r="H57" s="738"/>
    </row>
    <row r="58" spans="1:8" ht="12.75" customHeight="1" outlineLevel="1" x14ac:dyDescent="0.2">
      <c r="A58" s="549"/>
      <c r="B58" s="647"/>
      <c r="C58" s="552"/>
      <c r="D58" s="552"/>
      <c r="E58" s="552"/>
      <c r="F58" s="552"/>
      <c r="G58" s="552"/>
      <c r="H58" s="739"/>
    </row>
    <row r="59" spans="1:8" ht="12.75" customHeight="1" outlineLevel="1" x14ac:dyDescent="0.2">
      <c r="A59" s="549"/>
      <c r="B59" s="647"/>
      <c r="C59" s="552"/>
      <c r="D59" s="552"/>
      <c r="E59" s="552"/>
      <c r="F59" s="552"/>
      <c r="G59" s="552"/>
      <c r="H59" s="739"/>
    </row>
    <row r="60" spans="1:8" ht="12.75" customHeight="1" outlineLevel="1" x14ac:dyDescent="0.2">
      <c r="A60" s="549"/>
      <c r="B60" s="670"/>
      <c r="C60" s="552"/>
      <c r="D60" s="552"/>
      <c r="E60" s="552"/>
      <c r="F60" s="552"/>
      <c r="G60" s="552"/>
      <c r="H60" s="740"/>
    </row>
    <row r="61" spans="1:8" ht="12.75" customHeight="1" x14ac:dyDescent="0.2">
      <c r="A61" s="906" t="s">
        <v>437</v>
      </c>
      <c r="B61" s="906"/>
      <c r="C61" s="906"/>
      <c r="D61" s="906"/>
      <c r="E61" s="906"/>
      <c r="F61" s="906"/>
      <c r="G61" s="906"/>
      <c r="H61" s="906"/>
    </row>
    <row r="62" spans="1:8" ht="12.75" customHeight="1" outlineLevel="1" x14ac:dyDescent="0.2">
      <c r="A62" s="549"/>
      <c r="B62" s="907"/>
      <c r="C62" s="552"/>
      <c r="D62" s="552"/>
      <c r="E62" s="552"/>
      <c r="F62" s="552"/>
      <c r="G62" s="552"/>
      <c r="H62" s="738"/>
    </row>
    <row r="63" spans="1:8" ht="12.75" customHeight="1" outlineLevel="1" x14ac:dyDescent="0.2">
      <c r="A63" s="549"/>
      <c r="B63" s="549"/>
      <c r="C63" s="552"/>
      <c r="D63" s="552"/>
      <c r="E63" s="552"/>
      <c r="F63" s="552"/>
      <c r="G63" s="552"/>
      <c r="H63" s="739"/>
    </row>
    <row r="64" spans="1:8" ht="12.75" customHeight="1" outlineLevel="1" x14ac:dyDescent="0.2">
      <c r="A64" s="549"/>
      <c r="B64" s="549"/>
      <c r="C64" s="552"/>
      <c r="D64" s="552"/>
      <c r="E64" s="552"/>
      <c r="F64" s="552"/>
      <c r="G64" s="552"/>
      <c r="H64" s="739"/>
    </row>
    <row r="65" spans="1:8" ht="12.75" customHeight="1" outlineLevel="1" x14ac:dyDescent="0.2">
      <c r="A65" s="549"/>
      <c r="B65" s="549"/>
      <c r="C65" s="552"/>
      <c r="D65" s="552"/>
      <c r="E65" s="552"/>
      <c r="F65" s="552"/>
      <c r="G65" s="552"/>
      <c r="H65" s="740"/>
    </row>
    <row r="66" spans="1:8" ht="12.75" customHeight="1" x14ac:dyDescent="0.2">
      <c r="A66" s="270"/>
      <c r="B66" s="270"/>
      <c r="C66" s="293"/>
      <c r="D66" s="270"/>
      <c r="E66" s="270"/>
      <c r="F66" s="270"/>
      <c r="G66" s="270"/>
    </row>
    <row r="67" spans="1:8" ht="12.75" customHeight="1" x14ac:dyDescent="0.2">
      <c r="A67" s="282"/>
      <c r="B67" s="282"/>
      <c r="C67" s="506" t="s">
        <v>409</v>
      </c>
      <c r="D67" s="507"/>
      <c r="E67" s="506" t="s">
        <v>436</v>
      </c>
      <c r="F67" s="507"/>
      <c r="G67" s="505" t="s">
        <v>437</v>
      </c>
      <c r="H67" s="505"/>
    </row>
    <row r="68" spans="1:8" ht="12.75" customHeight="1" x14ac:dyDescent="0.2">
      <c r="A68" s="512" t="s">
        <v>438</v>
      </c>
      <c r="B68" s="556"/>
      <c r="C68" s="557" t="s">
        <v>439</v>
      </c>
      <c r="D68" s="558"/>
      <c r="E68" s="540"/>
      <c r="F68" s="541"/>
      <c r="G68" s="540"/>
      <c r="H68" s="541"/>
    </row>
    <row r="69" spans="1:8" ht="12.75" customHeight="1" x14ac:dyDescent="0.2">
      <c r="A69" s="512" t="s">
        <v>440</v>
      </c>
      <c r="B69" s="556"/>
      <c r="C69" s="514">
        <v>43643</v>
      </c>
      <c r="D69" s="581"/>
      <c r="E69" s="540"/>
      <c r="F69" s="541"/>
      <c r="G69" s="540"/>
      <c r="H69" s="541"/>
    </row>
    <row r="70" spans="1:8" ht="12.75" customHeight="1" x14ac:dyDescent="0.2">
      <c r="A70" s="512" t="s">
        <v>441</v>
      </c>
      <c r="B70" s="556"/>
      <c r="C70" s="582" t="s">
        <v>330</v>
      </c>
      <c r="D70" s="583"/>
      <c r="E70" s="557" t="s">
        <v>392</v>
      </c>
      <c r="F70" s="558"/>
      <c r="G70" s="557" t="s">
        <v>392</v>
      </c>
      <c r="H70" s="558"/>
    </row>
    <row r="71" spans="1:8" ht="12.75" customHeight="1" x14ac:dyDescent="0.2">
      <c r="A71" s="270"/>
      <c r="B71" s="270"/>
      <c r="C71" s="270"/>
      <c r="D71" s="270"/>
      <c r="E71" s="270"/>
      <c r="F71" s="270"/>
      <c r="G71" s="270"/>
      <c r="H71" s="270"/>
    </row>
    <row r="72" spans="1:8" ht="12.75" customHeight="1" x14ac:dyDescent="0.2">
      <c r="A72" s="561" t="s">
        <v>442</v>
      </c>
      <c r="B72" s="562"/>
      <c r="C72" s="270"/>
      <c r="D72" s="270"/>
      <c r="E72" s="270"/>
      <c r="F72" s="270"/>
      <c r="G72" s="270"/>
    </row>
    <row r="73" spans="1:8" ht="12.75" customHeight="1" x14ac:dyDescent="0.2">
      <c r="A73" s="764" t="s">
        <v>279</v>
      </c>
      <c r="B73" s="764"/>
      <c r="C73" s="755" t="s">
        <v>443</v>
      </c>
      <c r="D73" s="755"/>
      <c r="E73" s="755"/>
      <c r="F73" s="755"/>
      <c r="G73" s="755"/>
      <c r="H73" s="755"/>
    </row>
    <row r="74" spans="1:8" ht="12.75" customHeight="1" x14ac:dyDescent="0.2">
      <c r="A74" s="764"/>
      <c r="B74" s="764"/>
      <c r="C74" s="755"/>
      <c r="D74" s="755"/>
      <c r="E74" s="755"/>
      <c r="F74" s="755"/>
      <c r="G74" s="755"/>
      <c r="H74" s="755"/>
    </row>
    <row r="75" spans="1:8" ht="12.75" customHeight="1" x14ac:dyDescent="0.2">
      <c r="A75" s="754" t="s">
        <v>432</v>
      </c>
      <c r="B75" s="754"/>
      <c r="C75" s="755" t="s">
        <v>444</v>
      </c>
      <c r="D75" s="755"/>
      <c r="E75" s="755"/>
      <c r="F75" s="755"/>
      <c r="G75" s="755"/>
      <c r="H75" s="755"/>
    </row>
    <row r="76" spans="1:8" ht="12.75" customHeight="1" x14ac:dyDescent="0.2">
      <c r="A76" s="754"/>
      <c r="B76" s="754"/>
      <c r="C76" s="755"/>
      <c r="D76" s="755"/>
      <c r="E76" s="755"/>
      <c r="F76" s="755"/>
      <c r="G76" s="755"/>
      <c r="H76" s="755"/>
    </row>
    <row r="78" spans="1:8" ht="12.75" customHeight="1" x14ac:dyDescent="0.2">
      <c r="A78" s="843" t="s">
        <v>370</v>
      </c>
      <c r="B78" s="843"/>
      <c r="C78" s="843"/>
      <c r="D78" s="843"/>
      <c r="E78" s="843"/>
      <c r="F78" s="843"/>
      <c r="G78" s="843"/>
      <c r="H78" s="843"/>
    </row>
    <row r="79" spans="1:8" ht="12.75" customHeight="1" x14ac:dyDescent="0.2">
      <c r="A79" s="283" t="s">
        <v>449</v>
      </c>
      <c r="B79" s="283" t="s">
        <v>450</v>
      </c>
      <c r="C79" s="283" t="s">
        <v>451</v>
      </c>
      <c r="D79" s="843" t="s">
        <v>452</v>
      </c>
      <c r="E79" s="843"/>
      <c r="F79" s="843"/>
      <c r="G79" s="843"/>
      <c r="H79" s="843"/>
    </row>
    <row r="80" spans="1:8" ht="12.75" customHeight="1" x14ac:dyDescent="0.2">
      <c r="A80" s="908" t="s">
        <v>91</v>
      </c>
      <c r="B80" s="908" t="s">
        <v>454</v>
      </c>
      <c r="C80" s="908" t="s">
        <v>158</v>
      </c>
      <c r="D80" s="894" t="s">
        <v>456</v>
      </c>
      <c r="E80" s="895" t="s">
        <v>457</v>
      </c>
      <c r="F80" s="895"/>
      <c r="G80" s="800"/>
      <c r="H80" s="800"/>
    </row>
    <row r="81" spans="1:8" ht="12.75" customHeight="1" x14ac:dyDescent="0.2">
      <c r="A81" s="908"/>
      <c r="B81" s="908"/>
      <c r="C81" s="908"/>
      <c r="D81" s="894"/>
      <c r="E81" s="895"/>
      <c r="F81" s="895"/>
      <c r="G81" s="800"/>
      <c r="H81" s="800"/>
    </row>
    <row r="82" spans="1:8" ht="12.75" customHeight="1" x14ac:dyDescent="0.2">
      <c r="A82" s="908"/>
      <c r="B82" s="908"/>
      <c r="C82" s="908"/>
      <c r="D82" s="894"/>
      <c r="E82" s="895"/>
      <c r="F82" s="895"/>
      <c r="G82" s="800"/>
      <c r="H82" s="800"/>
    </row>
    <row r="83" spans="1:8" ht="12.75" customHeight="1" x14ac:dyDescent="0.2">
      <c r="A83" s="908"/>
      <c r="B83" s="908"/>
      <c r="C83" s="908"/>
      <c r="D83" s="894"/>
      <c r="E83" s="895"/>
      <c r="F83" s="895"/>
      <c r="G83" s="800"/>
      <c r="H83" s="800"/>
    </row>
    <row r="84" spans="1:8" ht="12.75" customHeight="1" x14ac:dyDescent="0.2">
      <c r="A84" s="908"/>
      <c r="B84" s="908"/>
      <c r="C84" s="908"/>
      <c r="D84" s="894"/>
      <c r="E84" s="895"/>
      <c r="F84" s="895"/>
      <c r="G84" s="800"/>
      <c r="H84" s="800"/>
    </row>
    <row r="85" spans="1:8" ht="12.75" customHeight="1" x14ac:dyDescent="0.2">
      <c r="A85" s="908"/>
      <c r="B85" s="908"/>
      <c r="C85" s="908"/>
      <c r="D85" s="894" t="s">
        <v>458</v>
      </c>
      <c r="E85" s="895" t="s">
        <v>459</v>
      </c>
      <c r="F85" s="895"/>
      <c r="G85" s="800"/>
      <c r="H85" s="800"/>
    </row>
    <row r="86" spans="1:8" ht="12.75" customHeight="1" x14ac:dyDescent="0.2">
      <c r="A86" s="908"/>
      <c r="B86" s="908"/>
      <c r="C86" s="908"/>
      <c r="D86" s="894"/>
      <c r="E86" s="895"/>
      <c r="F86" s="895"/>
      <c r="G86" s="800"/>
      <c r="H86" s="800"/>
    </row>
    <row r="87" spans="1:8" ht="12.75" customHeight="1" x14ac:dyDescent="0.2">
      <c r="A87" s="908"/>
      <c r="B87" s="908"/>
      <c r="C87" s="908"/>
      <c r="D87" s="894"/>
      <c r="E87" s="895"/>
      <c r="F87" s="895"/>
      <c r="G87" s="800"/>
      <c r="H87" s="800"/>
    </row>
    <row r="88" spans="1:8" ht="12.75" customHeight="1" x14ac:dyDescent="0.2">
      <c r="A88" s="908"/>
      <c r="B88" s="908"/>
      <c r="C88" s="908"/>
      <c r="D88" s="894"/>
      <c r="E88" s="895"/>
      <c r="F88" s="895"/>
      <c r="G88" s="800"/>
      <c r="H88" s="800"/>
    </row>
    <row r="89" spans="1:8" ht="12.75" customHeight="1" x14ac:dyDescent="0.2">
      <c r="A89" s="908"/>
      <c r="B89" s="908"/>
      <c r="C89" s="908"/>
      <c r="D89" s="894"/>
      <c r="E89" s="895"/>
      <c r="F89" s="895"/>
      <c r="G89" s="800"/>
      <c r="H89" s="800"/>
    </row>
    <row r="90" spans="1:8" ht="12.75" customHeight="1" x14ac:dyDescent="0.2">
      <c r="A90" s="908"/>
      <c r="B90" s="908"/>
      <c r="C90" s="908"/>
      <c r="D90" s="894" t="s">
        <v>460</v>
      </c>
      <c r="E90" s="895" t="s">
        <v>461</v>
      </c>
      <c r="F90" s="895"/>
      <c r="G90" s="800"/>
      <c r="H90" s="800"/>
    </row>
    <row r="91" spans="1:8" ht="12.75" customHeight="1" x14ac:dyDescent="0.2">
      <c r="A91" s="908"/>
      <c r="B91" s="908"/>
      <c r="C91" s="908"/>
      <c r="D91" s="894"/>
      <c r="E91" s="895"/>
      <c r="F91" s="895"/>
      <c r="G91" s="800"/>
      <c r="H91" s="800"/>
    </row>
    <row r="92" spans="1:8" ht="12.75" customHeight="1" x14ac:dyDescent="0.2">
      <c r="A92" s="908"/>
      <c r="B92" s="908"/>
      <c r="C92" s="908"/>
      <c r="D92" s="894"/>
      <c r="E92" s="895"/>
      <c r="F92" s="895"/>
      <c r="G92" s="800"/>
      <c r="H92" s="800"/>
    </row>
    <row r="93" spans="1:8" ht="12.75" customHeight="1" x14ac:dyDescent="0.2">
      <c r="A93" s="908"/>
      <c r="B93" s="908"/>
      <c r="C93" s="908"/>
      <c r="D93" s="894"/>
      <c r="E93" s="895"/>
      <c r="F93" s="895"/>
      <c r="G93" s="800"/>
      <c r="H93" s="800"/>
    </row>
    <row r="94" spans="1:8" ht="12.75" customHeight="1" x14ac:dyDescent="0.2">
      <c r="A94" s="908"/>
      <c r="B94" s="908"/>
      <c r="C94" s="908"/>
      <c r="D94" s="894"/>
      <c r="E94" s="895"/>
      <c r="F94" s="895"/>
      <c r="G94" s="800"/>
      <c r="H94" s="800"/>
    </row>
    <row r="95" spans="1:8" ht="12.75" customHeight="1" x14ac:dyDescent="0.2">
      <c r="A95" s="908"/>
      <c r="B95" s="908"/>
      <c r="C95" s="908"/>
      <c r="D95" s="894"/>
      <c r="E95" s="895" t="s">
        <v>462</v>
      </c>
      <c r="F95" s="895"/>
      <c r="G95" s="774"/>
      <c r="H95" s="776"/>
    </row>
    <row r="96" spans="1:8" ht="12.75" customHeight="1" x14ac:dyDescent="0.2">
      <c r="A96" s="908"/>
      <c r="B96" s="908"/>
      <c r="C96" s="908"/>
      <c r="D96" s="894"/>
      <c r="E96" s="895"/>
      <c r="F96" s="895"/>
      <c r="G96" s="777"/>
      <c r="H96" s="779"/>
    </row>
    <row r="97" spans="1:8" ht="12.75" customHeight="1" x14ac:dyDescent="0.2">
      <c r="A97" s="908"/>
      <c r="B97" s="908"/>
      <c r="C97" s="908"/>
      <c r="D97" s="894"/>
      <c r="E97" s="895" t="s">
        <v>463</v>
      </c>
      <c r="F97" s="895"/>
      <c r="G97" s="800"/>
      <c r="H97" s="800"/>
    </row>
    <row r="98" spans="1:8" ht="12.75" customHeight="1" x14ac:dyDescent="0.2">
      <c r="A98" s="908"/>
      <c r="B98" s="908"/>
      <c r="C98" s="908"/>
      <c r="D98" s="894"/>
      <c r="E98" s="895"/>
      <c r="F98" s="895"/>
      <c r="G98" s="800"/>
      <c r="H98" s="800"/>
    </row>
    <row r="99" spans="1:8" ht="12.75" customHeight="1" x14ac:dyDescent="0.2">
      <c r="A99" s="908"/>
      <c r="B99" s="908"/>
      <c r="C99" s="908"/>
      <c r="D99" s="894"/>
      <c r="E99" s="895"/>
      <c r="F99" s="895"/>
      <c r="G99" s="800"/>
      <c r="H99" s="800"/>
    </row>
    <row r="100" spans="1:8" ht="12.75" customHeight="1" x14ac:dyDescent="0.2">
      <c r="A100" s="908"/>
      <c r="B100" s="908"/>
      <c r="C100" s="908"/>
      <c r="D100" s="894"/>
      <c r="E100" s="895"/>
      <c r="F100" s="895"/>
      <c r="G100" s="800"/>
      <c r="H100" s="800"/>
    </row>
    <row r="101" spans="1:8" ht="12.75" customHeight="1" x14ac:dyDescent="0.2">
      <c r="A101" s="908"/>
      <c r="B101" s="908"/>
      <c r="C101" s="908"/>
      <c r="D101" s="894"/>
      <c r="E101" s="895"/>
      <c r="F101" s="895"/>
      <c r="G101" s="800"/>
      <c r="H101" s="800"/>
    </row>
    <row r="102" spans="1:8" ht="12.75" customHeight="1" x14ac:dyDescent="0.2">
      <c r="A102" s="908"/>
      <c r="B102" s="908"/>
      <c r="C102" s="908"/>
      <c r="D102" s="894"/>
      <c r="E102" s="895" t="s">
        <v>464</v>
      </c>
      <c r="F102" s="895"/>
      <c r="G102" s="774"/>
      <c r="H102" s="776"/>
    </row>
    <row r="103" spans="1:8" ht="12.75" customHeight="1" x14ac:dyDescent="0.2">
      <c r="A103" s="908"/>
      <c r="B103" s="908"/>
      <c r="C103" s="908"/>
      <c r="D103" s="894"/>
      <c r="E103" s="895"/>
      <c r="F103" s="895"/>
      <c r="G103" s="777"/>
      <c r="H103" s="779"/>
    </row>
    <row r="104" spans="1:8" ht="12.75" customHeight="1" x14ac:dyDescent="0.2">
      <c r="A104" s="908"/>
      <c r="B104" s="908"/>
      <c r="C104" s="908"/>
      <c r="D104" s="894" t="s">
        <v>465</v>
      </c>
      <c r="E104" s="895" t="s">
        <v>466</v>
      </c>
      <c r="F104" s="895"/>
      <c r="G104" s="800"/>
      <c r="H104" s="800"/>
    </row>
    <row r="105" spans="1:8" ht="12.75" customHeight="1" x14ac:dyDescent="0.2">
      <c r="A105" s="908"/>
      <c r="B105" s="908"/>
      <c r="C105" s="908"/>
      <c r="D105" s="894"/>
      <c r="E105" s="895"/>
      <c r="F105" s="895"/>
      <c r="G105" s="800"/>
      <c r="H105" s="800"/>
    </row>
    <row r="106" spans="1:8" ht="12.75" customHeight="1" x14ac:dyDescent="0.2">
      <c r="A106" s="908"/>
      <c r="B106" s="908"/>
      <c r="C106" s="908"/>
      <c r="D106" s="894"/>
      <c r="E106" s="895"/>
      <c r="F106" s="895"/>
      <c r="G106" s="800"/>
      <c r="H106" s="800"/>
    </row>
    <row r="107" spans="1:8" ht="12.75" customHeight="1" x14ac:dyDescent="0.2">
      <c r="A107" s="908"/>
      <c r="B107" s="908"/>
      <c r="C107" s="908"/>
      <c r="D107" s="894"/>
      <c r="E107" s="895"/>
      <c r="F107" s="895"/>
      <c r="G107" s="800"/>
      <c r="H107" s="800"/>
    </row>
    <row r="108" spans="1:8" ht="12.75" customHeight="1" x14ac:dyDescent="0.2">
      <c r="A108" s="908"/>
      <c r="B108" s="908"/>
      <c r="C108" s="908"/>
      <c r="D108" s="894"/>
      <c r="E108" s="895"/>
      <c r="F108" s="895"/>
      <c r="G108" s="800"/>
      <c r="H108" s="800"/>
    </row>
    <row r="109" spans="1:8" ht="12.75" customHeight="1" x14ac:dyDescent="0.2">
      <c r="A109" s="908"/>
      <c r="B109" s="908"/>
      <c r="C109" s="908"/>
      <c r="D109" s="894"/>
      <c r="E109" s="895" t="s">
        <v>467</v>
      </c>
      <c r="F109" s="895"/>
      <c r="G109" s="774"/>
      <c r="H109" s="776"/>
    </row>
    <row r="110" spans="1:8" ht="12.75" customHeight="1" x14ac:dyDescent="0.2">
      <c r="A110" s="908"/>
      <c r="B110" s="908"/>
      <c r="C110" s="908"/>
      <c r="D110" s="894"/>
      <c r="E110" s="895"/>
      <c r="F110" s="895"/>
      <c r="G110" s="777"/>
      <c r="H110" s="779"/>
    </row>
    <row r="111" spans="1:8" ht="12.75" customHeight="1" x14ac:dyDescent="0.2">
      <c r="A111" s="908" t="s">
        <v>705</v>
      </c>
      <c r="B111" s="908" t="s">
        <v>468</v>
      </c>
      <c r="C111" s="908" t="s">
        <v>153</v>
      </c>
      <c r="D111" s="896" t="s">
        <v>456</v>
      </c>
      <c r="E111" s="897" t="s">
        <v>469</v>
      </c>
      <c r="F111" s="897"/>
      <c r="G111" s="909" t="s">
        <v>584</v>
      </c>
      <c r="H111" s="909"/>
    </row>
    <row r="112" spans="1:8" ht="12.75" customHeight="1" x14ac:dyDescent="0.2">
      <c r="A112" s="908"/>
      <c r="B112" s="908"/>
      <c r="C112" s="908"/>
      <c r="D112" s="896"/>
      <c r="E112" s="897"/>
      <c r="F112" s="897"/>
      <c r="G112" s="909"/>
      <c r="H112" s="909"/>
    </row>
    <row r="113" spans="1:8" ht="12.75" customHeight="1" x14ac:dyDescent="0.2">
      <c r="A113" s="908"/>
      <c r="B113" s="908"/>
      <c r="C113" s="908"/>
      <c r="D113" s="896"/>
      <c r="E113" s="897"/>
      <c r="F113" s="897"/>
      <c r="G113" s="909"/>
      <c r="H113" s="909"/>
    </row>
    <row r="114" spans="1:8" ht="12.75" customHeight="1" x14ac:dyDescent="0.2">
      <c r="A114" s="908"/>
      <c r="B114" s="908"/>
      <c r="C114" s="908"/>
      <c r="D114" s="896"/>
      <c r="E114" s="897"/>
      <c r="F114" s="897"/>
      <c r="G114" s="909"/>
      <c r="H114" s="909"/>
    </row>
    <row r="115" spans="1:8" ht="12.75" customHeight="1" x14ac:dyDescent="0.2">
      <c r="A115" s="908"/>
      <c r="B115" s="908"/>
      <c r="C115" s="908"/>
      <c r="D115" s="896"/>
      <c r="E115" s="897"/>
      <c r="F115" s="897"/>
      <c r="G115" s="909"/>
      <c r="H115" s="909"/>
    </row>
  </sheetData>
  <sheetProtection algorithmName="SHA-512" hashValue="iSU4VcsVDQpdtTKvL8V7CVmI+3KzW3ZiP1Se4tSAtZUqAMXGZeiJUNzzSBd0NO/g2bo//GrRVXxhXYjGfDK+sQ==" saltValue="gM2tyQseok/dB7N2DtqgAA==" spinCount="100000" sheet="1" objects="1" scenarios="1"/>
  <mergeCells count="139">
    <mergeCell ref="G111:H115"/>
    <mergeCell ref="D104:D110"/>
    <mergeCell ref="E104:F108"/>
    <mergeCell ref="G104:H108"/>
    <mergeCell ref="E109:F110"/>
    <mergeCell ref="G109:H110"/>
    <mergeCell ref="A111:A115"/>
    <mergeCell ref="B111:B115"/>
    <mergeCell ref="C111:C115"/>
    <mergeCell ref="D111:D115"/>
    <mergeCell ref="E111:F115"/>
    <mergeCell ref="D79:H79"/>
    <mergeCell ref="A80:A110"/>
    <mergeCell ref="B80:B110"/>
    <mergeCell ref="C80:C110"/>
    <mergeCell ref="D80:D84"/>
    <mergeCell ref="E80:F84"/>
    <mergeCell ref="G80:H84"/>
    <mergeCell ref="D85:D89"/>
    <mergeCell ref="E85:F89"/>
    <mergeCell ref="G85:H89"/>
    <mergeCell ref="D90:D103"/>
    <mergeCell ref="E90:F94"/>
    <mergeCell ref="G90:H94"/>
    <mergeCell ref="E95:F96"/>
    <mergeCell ref="G95:H96"/>
    <mergeCell ref="E97:F101"/>
    <mergeCell ref="G97:H101"/>
    <mergeCell ref="E102:F103"/>
    <mergeCell ref="G102:H103"/>
    <mergeCell ref="A72:B72"/>
    <mergeCell ref="A73:B74"/>
    <mergeCell ref="C73:H74"/>
    <mergeCell ref="A75:B76"/>
    <mergeCell ref="C75:H76"/>
    <mergeCell ref="A78:H78"/>
    <mergeCell ref="A69:B69"/>
    <mergeCell ref="C69:D69"/>
    <mergeCell ref="E69:F69"/>
    <mergeCell ref="G69:H69"/>
    <mergeCell ref="A70:B70"/>
    <mergeCell ref="C70:D70"/>
    <mergeCell ref="E70:F70"/>
    <mergeCell ref="G70:H70"/>
    <mergeCell ref="C67:D67"/>
    <mergeCell ref="E67:F67"/>
    <mergeCell ref="G67:H67"/>
    <mergeCell ref="A68:B68"/>
    <mergeCell ref="C68:D68"/>
    <mergeCell ref="E68:F68"/>
    <mergeCell ref="G68:H68"/>
    <mergeCell ref="A61:H61"/>
    <mergeCell ref="A62:A65"/>
    <mergeCell ref="B62:B65"/>
    <mergeCell ref="C62:C65"/>
    <mergeCell ref="D62:D65"/>
    <mergeCell ref="E62:E65"/>
    <mergeCell ref="F62:F65"/>
    <mergeCell ref="G62:G65"/>
    <mergeCell ref="H62:H65"/>
    <mergeCell ref="A56:H56"/>
    <mergeCell ref="A57:A60"/>
    <mergeCell ref="B57:B60"/>
    <mergeCell ref="C57:C60"/>
    <mergeCell ref="D57:D60"/>
    <mergeCell ref="E57:E60"/>
    <mergeCell ref="F57:F60"/>
    <mergeCell ref="G57:G60"/>
    <mergeCell ref="H57:H60"/>
    <mergeCell ref="A51:H51"/>
    <mergeCell ref="A52:A55"/>
    <mergeCell ref="B52:B55"/>
    <mergeCell ref="C52:C55"/>
    <mergeCell ref="D52:D55"/>
    <mergeCell ref="E52:E55"/>
    <mergeCell ref="F52:F55"/>
    <mergeCell ref="G52:G55"/>
    <mergeCell ref="H52:H55"/>
    <mergeCell ref="A44:B46"/>
    <mergeCell ref="C44:D46"/>
    <mergeCell ref="E44:F46"/>
    <mergeCell ref="G44:H46"/>
    <mergeCell ref="A48:A50"/>
    <mergeCell ref="B48:B50"/>
    <mergeCell ref="C48:C50"/>
    <mergeCell ref="D48:D50"/>
    <mergeCell ref="E48:E50"/>
    <mergeCell ref="F48:F50"/>
    <mergeCell ref="G48:G50"/>
    <mergeCell ref="H48:H50"/>
    <mergeCell ref="A41:B41"/>
    <mergeCell ref="C41:D41"/>
    <mergeCell ref="E41:F41"/>
    <mergeCell ref="G41:H41"/>
    <mergeCell ref="A42:B43"/>
    <mergeCell ref="C42:D43"/>
    <mergeCell ref="E42:F43"/>
    <mergeCell ref="G42:H43"/>
    <mergeCell ref="A31:B39"/>
    <mergeCell ref="C31:D39"/>
    <mergeCell ref="E31:F39"/>
    <mergeCell ref="G31:H39"/>
    <mergeCell ref="A40:B40"/>
    <mergeCell ref="C40:D40"/>
    <mergeCell ref="E40:F40"/>
    <mergeCell ref="G40:H40"/>
    <mergeCell ref="A26:B27"/>
    <mergeCell ref="C26:H27"/>
    <mergeCell ref="C29:D29"/>
    <mergeCell ref="E29:F29"/>
    <mergeCell ref="G29:H29"/>
    <mergeCell ref="A30:B30"/>
    <mergeCell ref="C30:D30"/>
    <mergeCell ref="E30:F30"/>
    <mergeCell ref="G30:H30"/>
    <mergeCell ref="A23:B23"/>
    <mergeCell ref="C23:H23"/>
    <mergeCell ref="A24:B24"/>
    <mergeCell ref="C24:H24"/>
    <mergeCell ref="A25:B25"/>
    <mergeCell ref="C25:H25"/>
    <mergeCell ref="A20:B20"/>
    <mergeCell ref="C20:H20"/>
    <mergeCell ref="A21:B21"/>
    <mergeCell ref="C21:H21"/>
    <mergeCell ref="A22:B22"/>
    <mergeCell ref="C22:H22"/>
    <mergeCell ref="A11:B13"/>
    <mergeCell ref="C11:H13"/>
    <mergeCell ref="A15:B18"/>
    <mergeCell ref="C15:H18"/>
    <mergeCell ref="A19:B19"/>
    <mergeCell ref="C19:H19"/>
    <mergeCell ref="A8:B8"/>
    <mergeCell ref="C8:H8"/>
    <mergeCell ref="A9:B9"/>
    <mergeCell ref="C9:H9"/>
    <mergeCell ref="A10:B10"/>
    <mergeCell ref="C10:H10"/>
  </mergeCells>
  <conditionalFormatting sqref="G109:H110">
    <cfRule type="containsText" dxfId="173" priority="1" operator="containsText" text="Yes">
      <formula>NOT(ISERROR(SEARCH("Yes",G109)))</formula>
    </cfRule>
    <cfRule type="containsText" dxfId="172" priority="2" operator="containsText" text="No">
      <formula>NOT(ISERROR(SEARCH("No",G109)))</formula>
    </cfRule>
    <cfRule type="containsText" dxfId="171" priority="3" operator="containsText" text="N/A">
      <formula>NOT(ISERROR(SEARCH("N/A",G109)))</formula>
    </cfRule>
  </conditionalFormatting>
  <conditionalFormatting sqref="G102:H103">
    <cfRule type="containsText" dxfId="170" priority="4" operator="containsText" text="Yes">
      <formula>NOT(ISERROR(SEARCH("Yes",G102)))</formula>
    </cfRule>
    <cfRule type="containsText" dxfId="169" priority="5" operator="containsText" text="No">
      <formula>NOT(ISERROR(SEARCH("No",G102)))</formula>
    </cfRule>
    <cfRule type="containsText" dxfId="168" priority="6" operator="containsText" text="N/A">
      <formula>NOT(ISERROR(SEARCH("N/A",G102)))</formula>
    </cfRule>
  </conditionalFormatting>
  <conditionalFormatting sqref="G95:H96">
    <cfRule type="containsText" dxfId="167" priority="7" operator="containsText" text="Yes">
      <formula>NOT(ISERROR(SEARCH("Yes",G95)))</formula>
    </cfRule>
    <cfRule type="containsText" dxfId="166" priority="8" operator="containsText" text="No">
      <formula>NOT(ISERROR(SEARCH("No",G95)))</formula>
    </cfRule>
    <cfRule type="containsText" dxfId="165" priority="9" operator="containsText" text="N/A">
      <formula>NOT(ISERROR(SEARCH("N/A",G95)))</formula>
    </cfRule>
  </conditionalFormatting>
  <pageMargins left="0.7" right="0.7" top="0.75" bottom="0.75" header="0.3" footer="0.3"/>
  <pageSetup scale="50" fitToHeight="0" orientation="landscape" r:id="rId1"/>
  <drawing r:id="rId2"/>
  <legacyDrawing r:id="rId3"/>
  <controls>
    <mc:AlternateContent xmlns:mc="http://schemas.openxmlformats.org/markup-compatibility/2006">
      <mc:Choice Requires="x14">
        <control shapeId="16385"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6385" r:id="rId4" name="backMenuBtn"/>
      </mc:Fallback>
    </mc:AlternateContent>
    <mc:AlternateContent xmlns:mc="http://schemas.openxmlformats.org/markup-compatibility/2006">
      <mc:Choice Requires="x14">
        <control shapeId="16386" r:id="rId6" name="CommandButton1">
          <controlPr defaultSize="0" autoLine="0" r:id="rId7">
            <anchor moveWithCells="1">
              <from>
                <xdr:col>1</xdr:col>
                <xdr:colOff>657225</xdr:colOff>
                <xdr:row>0</xdr:row>
                <xdr:rowOff>0</xdr:rowOff>
              </from>
              <to>
                <xdr:col>1</xdr:col>
                <xdr:colOff>1857375</xdr:colOff>
                <xdr:row>1</xdr:row>
                <xdr:rowOff>114300</xdr:rowOff>
              </to>
            </anchor>
          </controlPr>
        </control>
      </mc:Choice>
      <mc:Fallback>
        <control shapeId="16386" r:id="rId6" name="CommandButton1"/>
      </mc:Fallback>
    </mc:AlternateContent>
    <mc:AlternateContent xmlns:mc="http://schemas.openxmlformats.org/markup-compatibility/2006">
      <mc:Choice Requires="x14">
        <control shapeId="16387" r:id="rId8" name="CommandButton2">
          <controlPr defaultSize="0" autoLine="0" r:id="rId9">
            <anchor moveWithCells="1">
              <from>
                <xdr:col>0</xdr:col>
                <xdr:colOff>1362075</xdr:colOff>
                <xdr:row>0</xdr:row>
                <xdr:rowOff>9525</xdr:rowOff>
              </from>
              <to>
                <xdr:col>1</xdr:col>
                <xdr:colOff>523875</xdr:colOff>
                <xdr:row>1</xdr:row>
                <xdr:rowOff>123825</xdr:rowOff>
              </to>
            </anchor>
          </controlPr>
        </control>
      </mc:Choice>
      <mc:Fallback>
        <control shapeId="16387"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Dropdown!$H$2:$H$13</xm:f>
          </x14:formula1>
          <xm:sqref>C44:H46 C70:H70</xm:sqref>
        </x14:dataValidation>
        <x14:dataValidation type="list" allowBlank="1" showInputMessage="1" showErrorMessage="1">
          <x14:formula1>
            <xm:f>Dropdown!$I$2:$I$5</xm:f>
          </x14:formula1>
          <xm:sqref>G102:H103 G95:H96 G109:H110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B050"/>
    <pageSetUpPr fitToPage="1"/>
  </sheetPr>
  <dimension ref="A1:I147"/>
  <sheetViews>
    <sheetView showGridLines="0" zoomScale="75" zoomScaleNormal="75" zoomScalePageLayoutView="60" workbookViewId="0">
      <pane xSplit="3" ySplit="13" topLeftCell="D14" activePane="bottomRight" state="frozen"/>
      <selection activeCell="C156" sqref="C156"/>
      <selection pane="topRight" activeCell="C156" sqref="C156"/>
      <selection pane="bottomLeft" activeCell="C156" sqref="C156"/>
      <selection pane="bottomRight" activeCell="C156" sqref="C156"/>
    </sheetView>
  </sheetViews>
  <sheetFormatPr defaultColWidth="9.42578125" defaultRowHeight="12.75" customHeight="1" outlineLevelRow="1" x14ac:dyDescent="0.2"/>
  <cols>
    <col min="1" max="3" width="20.5703125" style="267" customWidth="1"/>
    <col min="4" max="9" width="30.5703125" style="267" customWidth="1"/>
    <col min="10" max="10" width="1.5703125" style="267" customWidth="1"/>
    <col min="11" max="16384" width="9.42578125" style="267"/>
  </cols>
  <sheetData>
    <row r="1" spans="1:9" ht="12.75" customHeight="1" x14ac:dyDescent="0.2">
      <c r="A1" s="267" t="s">
        <v>762</v>
      </c>
    </row>
    <row r="3" spans="1:9" ht="12.75" customHeight="1" outlineLevel="1" x14ac:dyDescent="0.2">
      <c r="A3" s="266" t="str">
        <f>Narrative!A3</f>
        <v>ViewRay</v>
      </c>
      <c r="B3" s="266"/>
    </row>
    <row r="4" spans="1:9" ht="12.75" customHeight="1" outlineLevel="1" x14ac:dyDescent="0.2">
      <c r="A4" s="268" t="s">
        <v>394</v>
      </c>
      <c r="B4" s="268"/>
    </row>
    <row r="5" spans="1:9" ht="12.75" customHeight="1" outlineLevel="1" x14ac:dyDescent="0.2">
      <c r="A5" s="266" t="str">
        <f>Narrative!A5</f>
        <v>Financial Close and Reporting (FCR)</v>
      </c>
      <c r="B5" s="266"/>
    </row>
    <row r="6" spans="1:9" ht="12.75" customHeight="1" outlineLevel="1" x14ac:dyDescent="0.2">
      <c r="A6" s="266" t="str">
        <f>Narrative!A6</f>
        <v>FY 2019</v>
      </c>
      <c r="B6" s="266"/>
    </row>
    <row r="7" spans="1:9" ht="12.75" customHeight="1" outlineLevel="1" x14ac:dyDescent="0.2">
      <c r="A7" s="269"/>
      <c r="B7" s="269"/>
      <c r="C7" s="269"/>
      <c r="D7" s="270"/>
      <c r="E7" s="270"/>
      <c r="F7" s="270"/>
      <c r="G7" s="270"/>
      <c r="H7" s="270"/>
      <c r="I7" s="271"/>
    </row>
    <row r="8" spans="1:9" ht="12.75" customHeight="1" x14ac:dyDescent="0.2">
      <c r="A8" s="473" t="s">
        <v>395</v>
      </c>
      <c r="B8" s="705"/>
      <c r="C8" s="474"/>
      <c r="D8" s="470" t="str">
        <f>RCM!A11</f>
        <v>FCR</v>
      </c>
      <c r="E8" s="471"/>
      <c r="F8" s="471"/>
      <c r="G8" s="471"/>
      <c r="H8" s="471"/>
      <c r="I8" s="472"/>
    </row>
    <row r="9" spans="1:9" ht="12.75" customHeight="1" x14ac:dyDescent="0.2">
      <c r="A9" s="466" t="s">
        <v>396</v>
      </c>
      <c r="B9" s="466"/>
      <c r="C9" s="475"/>
      <c r="D9" s="470" t="str">
        <f>VLOOKUP($D$10,RCM!J:X,4,0)</f>
        <v>Corporate Controller</v>
      </c>
      <c r="E9" s="471"/>
      <c r="F9" s="471"/>
      <c r="G9" s="471"/>
      <c r="H9" s="471"/>
      <c r="I9" s="472"/>
    </row>
    <row r="10" spans="1:9" ht="12.75" customHeight="1" x14ac:dyDescent="0.2">
      <c r="A10" s="459" t="s">
        <v>397</v>
      </c>
      <c r="B10" s="459"/>
      <c r="C10" s="476"/>
      <c r="D10" s="470" t="str">
        <f>RCM!J20</f>
        <v>FCR 5.05</v>
      </c>
      <c r="E10" s="471"/>
      <c r="F10" s="471"/>
      <c r="G10" s="471"/>
      <c r="H10" s="471"/>
      <c r="I10" s="472"/>
    </row>
    <row r="11" spans="1:9" ht="12.75" customHeight="1" x14ac:dyDescent="0.2">
      <c r="A11" s="459" t="s">
        <v>398</v>
      </c>
      <c r="B11" s="459"/>
      <c r="C11" s="459"/>
      <c r="D11" s="460" t="str">
        <f>VLOOKUP($D$10,RCM!J:X,2,0)</f>
        <v>Quarterly, the Corporate Controller reviews and approves the operating expense allocation journal entry.  The review includes agreeing the journal entry to the allocation percentages provided by Finance, allocable costs to general ledger expense report, and verifying the mathematical accuracy of the calculation.  The review and approval is evidenced via sign-off on the journal entry.</v>
      </c>
      <c r="E11" s="461"/>
      <c r="F11" s="461"/>
      <c r="G11" s="461"/>
      <c r="H11" s="461"/>
      <c r="I11" s="462"/>
    </row>
    <row r="12" spans="1:9" ht="12.75" customHeight="1" x14ac:dyDescent="0.2">
      <c r="A12" s="459"/>
      <c r="B12" s="459"/>
      <c r="C12" s="459"/>
      <c r="D12" s="467"/>
      <c r="E12" s="468"/>
      <c r="F12" s="468"/>
      <c r="G12" s="468"/>
      <c r="H12" s="468"/>
      <c r="I12" s="469"/>
    </row>
    <row r="13" spans="1:9" ht="12.75" customHeight="1" x14ac:dyDescent="0.2">
      <c r="A13" s="459"/>
      <c r="B13" s="459"/>
      <c r="C13" s="459"/>
      <c r="D13" s="463" t="e">
        <v>#N/A</v>
      </c>
      <c r="E13" s="464"/>
      <c r="F13" s="464"/>
      <c r="G13" s="464"/>
      <c r="H13" s="464"/>
      <c r="I13" s="465"/>
    </row>
    <row r="14" spans="1:9" ht="12.75" customHeight="1" x14ac:dyDescent="0.2">
      <c r="A14" s="272"/>
      <c r="B14" s="272"/>
      <c r="C14" s="273"/>
      <c r="D14" s="274"/>
      <c r="E14" s="274"/>
      <c r="F14" s="274"/>
      <c r="G14" s="274"/>
      <c r="H14" s="274"/>
      <c r="I14" s="271"/>
    </row>
    <row r="15" spans="1:9" ht="12.75" customHeight="1" x14ac:dyDescent="0.2">
      <c r="A15" s="466" t="s">
        <v>399</v>
      </c>
      <c r="B15" s="466"/>
      <c r="C15" s="466"/>
      <c r="D15" s="460" t="str">
        <f>VLOOKUP($D$10,RCM!J:X,12,)</f>
        <v>1. Obtain the operating expense allocation JE and support for the testing period.
2. Review the journal entry documentation to ensure that the JE Form, QAD JE, and support all agree and allocated expenses were properly supported.
3. Ensure the calculation of allocated expenses is free of clerical error.
4. Verify there is evidence that the Controller reviewed and approved the journal entry.</v>
      </c>
      <c r="E15" s="461"/>
      <c r="F15" s="461"/>
      <c r="G15" s="461"/>
      <c r="H15" s="461"/>
      <c r="I15" s="462"/>
    </row>
    <row r="16" spans="1:9" ht="12.75" customHeight="1" x14ac:dyDescent="0.2">
      <c r="A16" s="466"/>
      <c r="B16" s="466"/>
      <c r="C16" s="466"/>
      <c r="D16" s="467"/>
      <c r="E16" s="468"/>
      <c r="F16" s="468"/>
      <c r="G16" s="468"/>
      <c r="H16" s="468"/>
      <c r="I16" s="469"/>
    </row>
    <row r="17" spans="1:9" ht="12.75" customHeight="1" x14ac:dyDescent="0.2">
      <c r="A17" s="466"/>
      <c r="B17" s="466"/>
      <c r="C17" s="466"/>
      <c r="D17" s="467"/>
      <c r="E17" s="468"/>
      <c r="F17" s="468"/>
      <c r="G17" s="468"/>
      <c r="H17" s="468"/>
      <c r="I17" s="469"/>
    </row>
    <row r="18" spans="1:9" ht="12.75" customHeight="1" x14ac:dyDescent="0.2">
      <c r="A18" s="466"/>
      <c r="B18" s="466"/>
      <c r="C18" s="466"/>
      <c r="D18" s="467"/>
      <c r="E18" s="468"/>
      <c r="F18" s="468"/>
      <c r="G18" s="468"/>
      <c r="H18" s="468"/>
      <c r="I18" s="469"/>
    </row>
    <row r="19" spans="1:9" ht="12.75" customHeight="1" x14ac:dyDescent="0.2">
      <c r="A19" s="466"/>
      <c r="B19" s="466"/>
      <c r="C19" s="466"/>
      <c r="D19" s="463" t="e">
        <v>#N/A</v>
      </c>
      <c r="E19" s="464"/>
      <c r="F19" s="464"/>
      <c r="G19" s="464"/>
      <c r="H19" s="464"/>
      <c r="I19" s="465"/>
    </row>
    <row r="20" spans="1:9" ht="12.75" customHeight="1" x14ac:dyDescent="0.2">
      <c r="A20" s="466" t="s">
        <v>400</v>
      </c>
      <c r="B20" s="466"/>
      <c r="C20" s="466"/>
      <c r="D20" s="470" t="str">
        <f>VLOOKUP($D$10,RCM!J:X,8,0)</f>
        <v>Inspection</v>
      </c>
      <c r="E20" s="471"/>
      <c r="F20" s="471"/>
      <c r="G20" s="471"/>
      <c r="H20" s="471"/>
      <c r="I20" s="472"/>
    </row>
    <row r="21" spans="1:9" ht="12.75" customHeight="1" x14ac:dyDescent="0.2">
      <c r="A21" s="466" t="s">
        <v>401</v>
      </c>
      <c r="B21" s="466"/>
      <c r="C21" s="475"/>
      <c r="D21" s="470" t="str">
        <f>VLOOKUP($D$10,RCM!J:X,5,0)</f>
        <v>Quarterly</v>
      </c>
      <c r="E21" s="471"/>
      <c r="F21" s="471"/>
      <c r="G21" s="471"/>
      <c r="H21" s="471"/>
      <c r="I21" s="472"/>
    </row>
    <row r="22" spans="1:9" ht="12.75" customHeight="1" x14ac:dyDescent="0.2">
      <c r="A22" s="466" t="s">
        <v>402</v>
      </c>
      <c r="B22" s="466"/>
      <c r="C22" s="475"/>
      <c r="D22" s="709">
        <f>VLOOKUP($D$10,RCM!J:X,3,0)</f>
        <v>42186</v>
      </c>
      <c r="E22" s="709"/>
      <c r="F22" s="709"/>
      <c r="G22" s="709"/>
      <c r="H22" s="709"/>
      <c r="I22" s="709"/>
    </row>
    <row r="23" spans="1:9" s="275" customFormat="1" ht="12.75" customHeight="1" x14ac:dyDescent="0.2">
      <c r="A23" s="466" t="s">
        <v>403</v>
      </c>
      <c r="B23" s="466"/>
      <c r="C23" s="475"/>
      <c r="D23" s="480" t="str">
        <f>VLOOKUP($D$10,RCM!J:X,10,0)</f>
        <v xml:space="preserve">Medium </v>
      </c>
      <c r="E23" s="481"/>
      <c r="F23" s="481"/>
      <c r="G23" s="481"/>
      <c r="H23" s="481"/>
      <c r="I23" s="482"/>
    </row>
    <row r="24" spans="1:9" ht="12.75" customHeight="1" x14ac:dyDescent="0.2">
      <c r="A24" s="466" t="s">
        <v>404</v>
      </c>
      <c r="B24" s="466"/>
      <c r="C24" s="475"/>
      <c r="D24" s="477" t="str">
        <f>RCM!$AB$3</f>
        <v>1/1/19 - 6/30/19</v>
      </c>
      <c r="E24" s="478"/>
      <c r="F24" s="478"/>
      <c r="G24" s="478"/>
      <c r="H24" s="478"/>
      <c r="I24" s="479"/>
    </row>
    <row r="25" spans="1:9" ht="12.75" customHeight="1" x14ac:dyDescent="0.2">
      <c r="A25" s="466" t="s">
        <v>405</v>
      </c>
      <c r="B25" s="466"/>
      <c r="C25" s="475"/>
      <c r="D25" s="706">
        <f>VLOOKUP(D$10,RCM!$J$9:$AG$29,20,0)</f>
        <v>4</v>
      </c>
      <c r="E25" s="707"/>
      <c r="F25" s="707"/>
      <c r="G25" s="707"/>
      <c r="H25" s="707"/>
      <c r="I25" s="708"/>
    </row>
    <row r="26" spans="1:9" ht="12.75" customHeight="1" x14ac:dyDescent="0.2">
      <c r="A26" s="466" t="s">
        <v>406</v>
      </c>
      <c r="B26" s="466"/>
      <c r="C26" s="475"/>
      <c r="D26" s="483" t="str">
        <f>RCM!$AB$5&amp;" "&amp;VLOOKUP(D$10,RCM!$J$9:$AG$29,21,0)&amp;" "&amp;RCM!$AB$6</f>
        <v>Annual sample size: 2 (See sample size derivation below)</v>
      </c>
      <c r="E26" s="484"/>
      <c r="F26" s="484"/>
      <c r="G26" s="484"/>
      <c r="H26" s="484"/>
      <c r="I26" s="485"/>
    </row>
    <row r="27" spans="1:9" ht="12.75" customHeight="1" x14ac:dyDescent="0.2">
      <c r="A27" s="489" t="s">
        <v>407</v>
      </c>
      <c r="B27" s="710"/>
      <c r="C27" s="490"/>
      <c r="D27" s="460" t="s">
        <v>552</v>
      </c>
      <c r="E27" s="461"/>
      <c r="F27" s="461"/>
      <c r="G27" s="461"/>
      <c r="H27" s="461"/>
      <c r="I27" s="462"/>
    </row>
    <row r="28" spans="1:9" s="275" customFormat="1" ht="12.75" customHeight="1" x14ac:dyDescent="0.2">
      <c r="A28" s="493"/>
      <c r="B28" s="711"/>
      <c r="C28" s="494"/>
      <c r="D28" s="463"/>
      <c r="E28" s="464"/>
      <c r="F28" s="464"/>
      <c r="G28" s="464"/>
      <c r="H28" s="464"/>
      <c r="I28" s="465"/>
    </row>
    <row r="29" spans="1:9" ht="12.75" customHeight="1" x14ac:dyDescent="0.2">
      <c r="A29" s="277"/>
      <c r="B29" s="277"/>
      <c r="C29" s="277"/>
      <c r="D29" s="278"/>
      <c r="E29" s="278"/>
      <c r="F29" s="278"/>
      <c r="G29" s="278"/>
      <c r="H29" s="278"/>
      <c r="I29" s="278"/>
    </row>
    <row r="30" spans="1:9" ht="12.75" customHeight="1" x14ac:dyDescent="0.2">
      <c r="A30" s="279"/>
      <c r="B30" s="279"/>
      <c r="C30" s="279"/>
      <c r="D30" s="506" t="s">
        <v>409</v>
      </c>
      <c r="E30" s="507"/>
      <c r="F30" s="506" t="s">
        <v>410</v>
      </c>
      <c r="G30" s="507"/>
      <c r="H30" s="506" t="s">
        <v>411</v>
      </c>
      <c r="I30" s="507"/>
    </row>
    <row r="31" spans="1:9" ht="12.75" customHeight="1" x14ac:dyDescent="0.2">
      <c r="A31" s="508" t="s">
        <v>412</v>
      </c>
      <c r="B31" s="508"/>
      <c r="C31" s="509"/>
      <c r="D31" s="898">
        <f>VLOOKUP($D$10,RCM!$J$9:$AG$29,22,0)</f>
        <v>1</v>
      </c>
      <c r="E31" s="511"/>
      <c r="F31" s="899">
        <f>VLOOKUP($D$10,RCM!$J$9:$AG$29,23,0)</f>
        <v>0</v>
      </c>
      <c r="G31" s="899"/>
      <c r="H31" s="899">
        <f>VLOOKUP($D$10,RCM!$J$9:$AG$29,24,0)</f>
        <v>1</v>
      </c>
      <c r="I31" s="899"/>
    </row>
    <row r="32" spans="1:9" ht="12.75" customHeight="1" outlineLevel="1" x14ac:dyDescent="0.2">
      <c r="A32" s="523" t="s">
        <v>413</v>
      </c>
      <c r="B32" s="524"/>
      <c r="C32" s="524"/>
      <c r="D32" s="900" t="s">
        <v>650</v>
      </c>
      <c r="E32" s="901"/>
      <c r="F32" s="529"/>
      <c r="G32" s="535"/>
      <c r="H32" s="900"/>
      <c r="I32" s="900"/>
    </row>
    <row r="33" spans="1:9" ht="12.75" customHeight="1" outlineLevel="1" x14ac:dyDescent="0.2">
      <c r="A33" s="525"/>
      <c r="B33" s="526"/>
      <c r="C33" s="526"/>
      <c r="D33" s="901"/>
      <c r="E33" s="901"/>
      <c r="F33" s="536"/>
      <c r="G33" s="537"/>
      <c r="H33" s="900"/>
      <c r="I33" s="900"/>
    </row>
    <row r="34" spans="1:9" ht="12.75" customHeight="1" outlineLevel="1" x14ac:dyDescent="0.2">
      <c r="A34" s="525"/>
      <c r="B34" s="526"/>
      <c r="C34" s="526"/>
      <c r="D34" s="901"/>
      <c r="E34" s="901"/>
      <c r="F34" s="536"/>
      <c r="G34" s="537"/>
      <c r="H34" s="900"/>
      <c r="I34" s="900"/>
    </row>
    <row r="35" spans="1:9" ht="12.75" customHeight="1" outlineLevel="1" x14ac:dyDescent="0.2">
      <c r="A35" s="525"/>
      <c r="B35" s="526"/>
      <c r="C35" s="526"/>
      <c r="D35" s="901"/>
      <c r="E35" s="901"/>
      <c r="F35" s="536"/>
      <c r="G35" s="537"/>
      <c r="H35" s="900"/>
      <c r="I35" s="900"/>
    </row>
    <row r="36" spans="1:9" ht="12.75" customHeight="1" outlineLevel="1" x14ac:dyDescent="0.2">
      <c r="A36" s="525"/>
      <c r="B36" s="526"/>
      <c r="C36" s="526"/>
      <c r="D36" s="901"/>
      <c r="E36" s="901"/>
      <c r="F36" s="536"/>
      <c r="G36" s="537"/>
      <c r="H36" s="900"/>
      <c r="I36" s="900"/>
    </row>
    <row r="37" spans="1:9" ht="12.75" customHeight="1" outlineLevel="1" x14ac:dyDescent="0.2">
      <c r="A37" s="525"/>
      <c r="B37" s="526"/>
      <c r="C37" s="526"/>
      <c r="D37" s="901"/>
      <c r="E37" s="901"/>
      <c r="F37" s="536"/>
      <c r="G37" s="537"/>
      <c r="H37" s="900"/>
      <c r="I37" s="900"/>
    </row>
    <row r="38" spans="1:9" ht="12.75" customHeight="1" outlineLevel="1" x14ac:dyDescent="0.2">
      <c r="A38" s="525"/>
      <c r="B38" s="526"/>
      <c r="C38" s="526"/>
      <c r="D38" s="901"/>
      <c r="E38" s="901"/>
      <c r="F38" s="536"/>
      <c r="G38" s="537"/>
      <c r="H38" s="900"/>
      <c r="I38" s="900"/>
    </row>
    <row r="39" spans="1:9" ht="12.75" customHeight="1" outlineLevel="1" x14ac:dyDescent="0.2">
      <c r="A39" s="525"/>
      <c r="B39" s="526"/>
      <c r="C39" s="526"/>
      <c r="D39" s="901"/>
      <c r="E39" s="901"/>
      <c r="F39" s="536"/>
      <c r="G39" s="537"/>
      <c r="H39" s="900"/>
      <c r="I39" s="900"/>
    </row>
    <row r="40" spans="1:9" ht="12.75" customHeight="1" outlineLevel="1" x14ac:dyDescent="0.2">
      <c r="A40" s="527"/>
      <c r="B40" s="528"/>
      <c r="C40" s="528"/>
      <c r="D40" s="901"/>
      <c r="E40" s="901"/>
      <c r="F40" s="538"/>
      <c r="G40" s="539"/>
      <c r="H40" s="900"/>
      <c r="I40" s="900"/>
    </row>
    <row r="41" spans="1:9" ht="12.75" customHeight="1" x14ac:dyDescent="0.2">
      <c r="A41" s="512" t="s">
        <v>415</v>
      </c>
      <c r="B41" s="713"/>
      <c r="C41" s="513"/>
      <c r="D41" s="540" t="s">
        <v>416</v>
      </c>
      <c r="E41" s="541"/>
      <c r="F41" s="540"/>
      <c r="G41" s="541"/>
      <c r="H41" s="540"/>
      <c r="I41" s="541"/>
    </row>
    <row r="42" spans="1:9" ht="12.75" customHeight="1" x14ac:dyDescent="0.2">
      <c r="A42" s="512" t="s">
        <v>417</v>
      </c>
      <c r="B42" s="713"/>
      <c r="C42" s="513"/>
      <c r="D42" s="514">
        <v>43642</v>
      </c>
      <c r="E42" s="581"/>
      <c r="F42" s="514"/>
      <c r="G42" s="581"/>
      <c r="H42" s="514"/>
      <c r="I42" s="581"/>
    </row>
    <row r="43" spans="1:9" ht="12.75" customHeight="1" x14ac:dyDescent="0.2">
      <c r="A43" s="508" t="s">
        <v>418</v>
      </c>
      <c r="B43" s="508"/>
      <c r="C43" s="508"/>
      <c r="D43" s="515" t="str">
        <f>VLOOKUP(D$10,'WT (WT)'!$A$8:$K$24,11,0)</f>
        <v>Effective</v>
      </c>
      <c r="E43" s="516"/>
      <c r="F43" s="515"/>
      <c r="G43" s="516"/>
      <c r="H43" s="519"/>
      <c r="I43" s="520"/>
    </row>
    <row r="44" spans="1:9" ht="12.75" customHeight="1" x14ac:dyDescent="0.2">
      <c r="A44" s="508"/>
      <c r="B44" s="508"/>
      <c r="C44" s="508"/>
      <c r="D44" s="517"/>
      <c r="E44" s="518"/>
      <c r="F44" s="517"/>
      <c r="G44" s="518"/>
      <c r="H44" s="521"/>
      <c r="I44" s="522"/>
    </row>
    <row r="45" spans="1:9" ht="12.75" customHeight="1" x14ac:dyDescent="0.2">
      <c r="A45" s="508" t="s">
        <v>419</v>
      </c>
      <c r="B45" s="508"/>
      <c r="C45" s="508"/>
      <c r="D45" s="519" t="s">
        <v>330</v>
      </c>
      <c r="E45" s="520"/>
      <c r="F45" s="519"/>
      <c r="G45" s="520"/>
      <c r="H45" s="519"/>
      <c r="I45" s="520"/>
    </row>
    <row r="46" spans="1:9" ht="12.75" customHeight="1" x14ac:dyDescent="0.2">
      <c r="A46" s="508"/>
      <c r="B46" s="508"/>
      <c r="C46" s="508"/>
      <c r="D46" s="542"/>
      <c r="E46" s="543"/>
      <c r="F46" s="542"/>
      <c r="G46" s="543"/>
      <c r="H46" s="542"/>
      <c r="I46" s="543"/>
    </row>
    <row r="47" spans="1:9" ht="12.75" customHeight="1" x14ac:dyDescent="0.2">
      <c r="A47" s="508"/>
      <c r="B47" s="508"/>
      <c r="C47" s="508"/>
      <c r="D47" s="521"/>
      <c r="E47" s="522"/>
      <c r="F47" s="521"/>
      <c r="G47" s="522"/>
      <c r="H47" s="521"/>
      <c r="I47" s="522"/>
    </row>
    <row r="48" spans="1:9" ht="12.75" customHeight="1" x14ac:dyDescent="0.2">
      <c r="A48" s="280"/>
      <c r="B48" s="280"/>
      <c r="C48" s="280"/>
      <c r="D48" s="271"/>
      <c r="E48" s="271"/>
      <c r="F48" s="271"/>
      <c r="G48" s="271"/>
      <c r="H48" s="281"/>
      <c r="I48" s="271"/>
    </row>
    <row r="49" spans="1:9" ht="12.75" customHeight="1" x14ac:dyDescent="0.2">
      <c r="A49" s="544" t="s">
        <v>420</v>
      </c>
      <c r="B49" s="544" t="s">
        <v>535</v>
      </c>
      <c r="C49" s="544" t="s">
        <v>651</v>
      </c>
      <c r="D49" s="544" t="s">
        <v>652</v>
      </c>
      <c r="E49" s="544" t="s">
        <v>653</v>
      </c>
      <c r="F49" s="544" t="s">
        <v>654</v>
      </c>
      <c r="G49" s="544" t="s">
        <v>655</v>
      </c>
      <c r="H49" s="544" t="s">
        <v>656</v>
      </c>
      <c r="I49" s="544" t="s">
        <v>542</v>
      </c>
    </row>
    <row r="50" spans="1:9" ht="12.75" customHeight="1" x14ac:dyDescent="0.2">
      <c r="A50" s="544"/>
      <c r="B50" s="544"/>
      <c r="C50" s="544"/>
      <c r="D50" s="544"/>
      <c r="E50" s="544"/>
      <c r="F50" s="544"/>
      <c r="G50" s="544"/>
      <c r="H50" s="544"/>
      <c r="I50" s="544"/>
    </row>
    <row r="51" spans="1:9" ht="12.75" customHeight="1" x14ac:dyDescent="0.2">
      <c r="A51" s="544"/>
      <c r="B51" s="544"/>
      <c r="C51" s="544"/>
      <c r="D51" s="544"/>
      <c r="E51" s="544"/>
      <c r="F51" s="544"/>
      <c r="G51" s="544"/>
      <c r="H51" s="544"/>
      <c r="I51" s="544"/>
    </row>
    <row r="52" spans="1:9" ht="12.75" customHeight="1" x14ac:dyDescent="0.2">
      <c r="A52" s="545" t="s">
        <v>428</v>
      </c>
      <c r="B52" s="546"/>
      <c r="C52" s="546"/>
      <c r="D52" s="547"/>
      <c r="E52" s="547"/>
      <c r="F52" s="547"/>
      <c r="G52" s="547"/>
      <c r="H52" s="547"/>
      <c r="I52" s="548"/>
    </row>
    <row r="53" spans="1:9" s="287" customFormat="1" ht="12.75" customHeight="1" outlineLevel="1" x14ac:dyDescent="0.2">
      <c r="A53" s="646">
        <v>1</v>
      </c>
      <c r="B53" s="803">
        <v>43555</v>
      </c>
      <c r="C53" s="905">
        <v>416</v>
      </c>
      <c r="D53" s="903" t="s">
        <v>279</v>
      </c>
      <c r="E53" s="646" t="s">
        <v>279</v>
      </c>
      <c r="F53" s="646" t="s">
        <v>279</v>
      </c>
      <c r="G53" s="656" t="s">
        <v>657</v>
      </c>
      <c r="H53" s="656" t="s">
        <v>658</v>
      </c>
      <c r="I53" s="658" t="s">
        <v>432</v>
      </c>
    </row>
    <row r="54" spans="1:9" s="287" customFormat="1" ht="12.75" customHeight="1" outlineLevel="1" x14ac:dyDescent="0.2">
      <c r="A54" s="647"/>
      <c r="B54" s="647"/>
      <c r="C54" s="647"/>
      <c r="D54" s="653"/>
      <c r="E54" s="647"/>
      <c r="F54" s="647"/>
      <c r="G54" s="647"/>
      <c r="H54" s="647"/>
      <c r="I54" s="659"/>
    </row>
    <row r="55" spans="1:9" s="287" customFormat="1" ht="12.75" customHeight="1" outlineLevel="1" x14ac:dyDescent="0.2">
      <c r="A55" s="647"/>
      <c r="B55" s="647"/>
      <c r="C55" s="647"/>
      <c r="D55" s="653"/>
      <c r="E55" s="647"/>
      <c r="F55" s="647"/>
      <c r="G55" s="647"/>
      <c r="H55" s="647"/>
      <c r="I55" s="659"/>
    </row>
    <row r="56" spans="1:9" s="287" customFormat="1" ht="12.75" customHeight="1" outlineLevel="1" x14ac:dyDescent="0.2">
      <c r="A56" s="670"/>
      <c r="B56" s="670"/>
      <c r="C56" s="670"/>
      <c r="D56" s="904"/>
      <c r="E56" s="670"/>
      <c r="F56" s="670"/>
      <c r="G56" s="670"/>
      <c r="H56" s="670"/>
      <c r="I56" s="737"/>
    </row>
    <row r="57" spans="1:9" ht="12.75" customHeight="1" x14ac:dyDescent="0.2">
      <c r="A57" s="545" t="s">
        <v>436</v>
      </c>
      <c r="B57" s="546"/>
      <c r="C57" s="546"/>
      <c r="D57" s="547"/>
      <c r="E57" s="547"/>
      <c r="F57" s="547"/>
      <c r="G57" s="547"/>
      <c r="H57" s="547"/>
      <c r="I57" s="548"/>
    </row>
    <row r="58" spans="1:9" ht="12.75" customHeight="1" outlineLevel="1" x14ac:dyDescent="0.2">
      <c r="A58" s="549"/>
      <c r="B58" s="905"/>
      <c r="C58" s="905"/>
      <c r="D58" s="552"/>
      <c r="E58" s="552"/>
      <c r="F58" s="552"/>
      <c r="G58" s="552"/>
      <c r="H58" s="552"/>
      <c r="I58" s="738"/>
    </row>
    <row r="59" spans="1:9" ht="12.75" customHeight="1" outlineLevel="1" x14ac:dyDescent="0.2">
      <c r="A59" s="549"/>
      <c r="B59" s="647"/>
      <c r="C59" s="647"/>
      <c r="D59" s="552"/>
      <c r="E59" s="552"/>
      <c r="F59" s="552"/>
      <c r="G59" s="552"/>
      <c r="H59" s="552"/>
      <c r="I59" s="739"/>
    </row>
    <row r="60" spans="1:9" ht="12.75" customHeight="1" outlineLevel="1" x14ac:dyDescent="0.2">
      <c r="A60" s="549"/>
      <c r="B60" s="647"/>
      <c r="C60" s="647"/>
      <c r="D60" s="552"/>
      <c r="E60" s="552"/>
      <c r="F60" s="552"/>
      <c r="G60" s="552"/>
      <c r="H60" s="552"/>
      <c r="I60" s="739"/>
    </row>
    <row r="61" spans="1:9" ht="12.75" customHeight="1" outlineLevel="1" x14ac:dyDescent="0.2">
      <c r="A61" s="549"/>
      <c r="B61" s="670"/>
      <c r="C61" s="670"/>
      <c r="D61" s="552"/>
      <c r="E61" s="552"/>
      <c r="F61" s="552"/>
      <c r="G61" s="552"/>
      <c r="H61" s="552"/>
      <c r="I61" s="740"/>
    </row>
    <row r="62" spans="1:9" ht="12.75" customHeight="1" x14ac:dyDescent="0.2">
      <c r="A62" s="906" t="s">
        <v>437</v>
      </c>
      <c r="B62" s="906"/>
      <c r="C62" s="906"/>
      <c r="D62" s="906"/>
      <c r="E62" s="906"/>
      <c r="F62" s="906"/>
      <c r="G62" s="906"/>
      <c r="H62" s="906"/>
      <c r="I62" s="906"/>
    </row>
    <row r="63" spans="1:9" ht="12.75" customHeight="1" outlineLevel="1" x14ac:dyDescent="0.2">
      <c r="A63" s="549"/>
      <c r="B63" s="910"/>
      <c r="C63" s="907"/>
      <c r="D63" s="552"/>
      <c r="E63" s="552"/>
      <c r="F63" s="552"/>
      <c r="G63" s="552"/>
      <c r="H63" s="552"/>
      <c r="I63" s="738"/>
    </row>
    <row r="64" spans="1:9" ht="12.75" customHeight="1" outlineLevel="1" x14ac:dyDescent="0.2">
      <c r="A64" s="549"/>
      <c r="B64" s="817"/>
      <c r="C64" s="549"/>
      <c r="D64" s="552"/>
      <c r="E64" s="552"/>
      <c r="F64" s="552"/>
      <c r="G64" s="552"/>
      <c r="H64" s="552"/>
      <c r="I64" s="739"/>
    </row>
    <row r="65" spans="1:9" ht="12.75" customHeight="1" outlineLevel="1" x14ac:dyDescent="0.2">
      <c r="A65" s="549"/>
      <c r="B65" s="817"/>
      <c r="C65" s="549"/>
      <c r="D65" s="552"/>
      <c r="E65" s="552"/>
      <c r="F65" s="552"/>
      <c r="G65" s="552"/>
      <c r="H65" s="552"/>
      <c r="I65" s="739"/>
    </row>
    <row r="66" spans="1:9" ht="12.75" customHeight="1" outlineLevel="1" x14ac:dyDescent="0.2">
      <c r="A66" s="549"/>
      <c r="B66" s="818"/>
      <c r="C66" s="549"/>
      <c r="D66" s="552"/>
      <c r="E66" s="552"/>
      <c r="F66" s="552"/>
      <c r="G66" s="552"/>
      <c r="H66" s="552"/>
      <c r="I66" s="740"/>
    </row>
    <row r="67" spans="1:9" ht="12.75" customHeight="1" x14ac:dyDescent="0.2">
      <c r="A67" s="270"/>
      <c r="B67" s="270"/>
      <c r="C67" s="270"/>
      <c r="D67" s="293"/>
      <c r="E67" s="270"/>
      <c r="F67" s="270"/>
      <c r="G67" s="270"/>
      <c r="H67" s="270"/>
    </row>
    <row r="68" spans="1:9" ht="12.75" customHeight="1" x14ac:dyDescent="0.2">
      <c r="A68" s="282"/>
      <c r="B68" s="282"/>
      <c r="C68" s="282"/>
      <c r="D68" s="506" t="s">
        <v>409</v>
      </c>
      <c r="E68" s="507"/>
      <c r="F68" s="506" t="s">
        <v>436</v>
      </c>
      <c r="G68" s="507"/>
      <c r="H68" s="505" t="s">
        <v>437</v>
      </c>
      <c r="I68" s="505"/>
    </row>
    <row r="69" spans="1:9" ht="12.75" customHeight="1" x14ac:dyDescent="0.2">
      <c r="A69" s="512" t="s">
        <v>438</v>
      </c>
      <c r="B69" s="713"/>
      <c r="C69" s="556"/>
      <c r="D69" s="557" t="s">
        <v>439</v>
      </c>
      <c r="E69" s="558"/>
      <c r="F69" s="540"/>
      <c r="G69" s="541"/>
      <c r="H69" s="540"/>
      <c r="I69" s="541"/>
    </row>
    <row r="70" spans="1:9" ht="12.75" customHeight="1" x14ac:dyDescent="0.2">
      <c r="A70" s="512" t="s">
        <v>440</v>
      </c>
      <c r="B70" s="713"/>
      <c r="C70" s="556"/>
      <c r="D70" s="514">
        <v>43643</v>
      </c>
      <c r="E70" s="581"/>
      <c r="F70" s="540"/>
      <c r="G70" s="541"/>
      <c r="H70" s="540"/>
      <c r="I70" s="541"/>
    </row>
    <row r="71" spans="1:9" ht="12.75" customHeight="1" x14ac:dyDescent="0.2">
      <c r="A71" s="512" t="s">
        <v>441</v>
      </c>
      <c r="B71" s="713"/>
      <c r="C71" s="556"/>
      <c r="D71" s="582" t="s">
        <v>330</v>
      </c>
      <c r="E71" s="583"/>
      <c r="F71" s="557" t="s">
        <v>392</v>
      </c>
      <c r="G71" s="558"/>
      <c r="H71" s="557" t="s">
        <v>392</v>
      </c>
      <c r="I71" s="558"/>
    </row>
    <row r="72" spans="1:9" ht="12.75" customHeight="1" x14ac:dyDescent="0.2">
      <c r="A72" s="270"/>
      <c r="B72" s="270"/>
      <c r="C72" s="270"/>
      <c r="D72" s="270"/>
      <c r="E72" s="270"/>
      <c r="F72" s="270"/>
      <c r="G72" s="270"/>
      <c r="H72" s="270"/>
      <c r="I72" s="270"/>
    </row>
    <row r="73" spans="1:9" ht="12.75" customHeight="1" x14ac:dyDescent="0.2">
      <c r="A73" s="561" t="s">
        <v>442</v>
      </c>
      <c r="B73" s="763"/>
      <c r="C73" s="562"/>
      <c r="D73" s="270"/>
      <c r="E73" s="270"/>
      <c r="F73" s="270"/>
      <c r="G73" s="270"/>
      <c r="H73" s="270"/>
    </row>
    <row r="74" spans="1:9" ht="12.75" customHeight="1" x14ac:dyDescent="0.2">
      <c r="A74" s="764" t="s">
        <v>279</v>
      </c>
      <c r="B74" s="764"/>
      <c r="C74" s="764"/>
      <c r="D74" s="755" t="s">
        <v>443</v>
      </c>
      <c r="E74" s="755"/>
      <c r="F74" s="755"/>
      <c r="G74" s="755"/>
      <c r="H74" s="755"/>
      <c r="I74" s="755"/>
    </row>
    <row r="75" spans="1:9" ht="12.75" customHeight="1" x14ac:dyDescent="0.2">
      <c r="A75" s="764"/>
      <c r="B75" s="764"/>
      <c r="C75" s="764"/>
      <c r="D75" s="755"/>
      <c r="E75" s="755"/>
      <c r="F75" s="755"/>
      <c r="G75" s="755"/>
      <c r="H75" s="755"/>
      <c r="I75" s="755"/>
    </row>
    <row r="76" spans="1:9" ht="12.75" customHeight="1" x14ac:dyDescent="0.2">
      <c r="A76" s="754" t="s">
        <v>432</v>
      </c>
      <c r="B76" s="754"/>
      <c r="C76" s="754"/>
      <c r="D76" s="755" t="s">
        <v>444</v>
      </c>
      <c r="E76" s="755"/>
      <c r="F76" s="755"/>
      <c r="G76" s="755"/>
      <c r="H76" s="755"/>
      <c r="I76" s="755"/>
    </row>
    <row r="77" spans="1:9" ht="12.75" customHeight="1" x14ac:dyDescent="0.2">
      <c r="A77" s="754"/>
      <c r="B77" s="754"/>
      <c r="C77" s="754"/>
      <c r="D77" s="755"/>
      <c r="E77" s="755"/>
      <c r="F77" s="755"/>
      <c r="G77" s="755"/>
      <c r="H77" s="755"/>
      <c r="I77" s="755"/>
    </row>
    <row r="79" spans="1:9" ht="12.75" customHeight="1" x14ac:dyDescent="0.2">
      <c r="A79" s="843" t="s">
        <v>370</v>
      </c>
      <c r="B79" s="843"/>
      <c r="C79" s="843"/>
      <c r="D79" s="843"/>
      <c r="E79" s="843"/>
      <c r="F79" s="843"/>
      <c r="G79" s="843"/>
      <c r="H79" s="843"/>
      <c r="I79" s="843"/>
    </row>
    <row r="80" spans="1:9" ht="12.75" customHeight="1" x14ac:dyDescent="0.2">
      <c r="A80" s="294" t="s">
        <v>449</v>
      </c>
      <c r="B80" s="294" t="s">
        <v>450</v>
      </c>
      <c r="C80" s="294" t="s">
        <v>451</v>
      </c>
      <c r="D80" s="843" t="s">
        <v>452</v>
      </c>
      <c r="E80" s="843"/>
      <c r="F80" s="843"/>
      <c r="G80" s="843"/>
      <c r="H80" s="843"/>
      <c r="I80" s="843"/>
    </row>
    <row r="81" spans="1:9" ht="12.75" customHeight="1" x14ac:dyDescent="0.2">
      <c r="A81" s="908" t="s">
        <v>707</v>
      </c>
      <c r="B81" s="908" t="s">
        <v>454</v>
      </c>
      <c r="C81" s="908" t="s">
        <v>709</v>
      </c>
      <c r="D81" s="603" t="s">
        <v>456</v>
      </c>
      <c r="E81" s="911" t="s">
        <v>457</v>
      </c>
      <c r="F81" s="911"/>
      <c r="G81" s="801" t="s">
        <v>455</v>
      </c>
      <c r="H81" s="801"/>
      <c r="I81" s="801"/>
    </row>
    <row r="82" spans="1:9" ht="12.75" customHeight="1" x14ac:dyDescent="0.2">
      <c r="A82" s="908"/>
      <c r="B82" s="908"/>
      <c r="C82" s="908"/>
      <c r="D82" s="894"/>
      <c r="E82" s="895"/>
      <c r="F82" s="895"/>
      <c r="G82" s="801"/>
      <c r="H82" s="801"/>
      <c r="I82" s="801"/>
    </row>
    <row r="83" spans="1:9" ht="12.75" customHeight="1" x14ac:dyDescent="0.2">
      <c r="A83" s="908"/>
      <c r="B83" s="908"/>
      <c r="C83" s="908"/>
      <c r="D83" s="894"/>
      <c r="E83" s="895"/>
      <c r="F83" s="895"/>
      <c r="G83" s="801"/>
      <c r="H83" s="801"/>
      <c r="I83" s="801"/>
    </row>
    <row r="84" spans="1:9" ht="12.75" customHeight="1" x14ac:dyDescent="0.2">
      <c r="A84" s="908"/>
      <c r="B84" s="908"/>
      <c r="C84" s="908"/>
      <c r="D84" s="894"/>
      <c r="E84" s="895"/>
      <c r="F84" s="895"/>
      <c r="G84" s="801"/>
      <c r="H84" s="801"/>
      <c r="I84" s="801"/>
    </row>
    <row r="85" spans="1:9" ht="12.75" customHeight="1" x14ac:dyDescent="0.2">
      <c r="A85" s="908"/>
      <c r="B85" s="908"/>
      <c r="C85" s="908"/>
      <c r="D85" s="894"/>
      <c r="E85" s="895"/>
      <c r="F85" s="895"/>
      <c r="G85" s="801"/>
      <c r="H85" s="801"/>
      <c r="I85" s="801"/>
    </row>
    <row r="86" spans="1:9" ht="12.75" customHeight="1" x14ac:dyDescent="0.2">
      <c r="A86" s="908"/>
      <c r="B86" s="908"/>
      <c r="C86" s="908"/>
      <c r="D86" s="894" t="s">
        <v>458</v>
      </c>
      <c r="E86" s="895" t="s">
        <v>459</v>
      </c>
      <c r="F86" s="895"/>
      <c r="G86" s="800"/>
      <c r="H86" s="800"/>
      <c r="I86" s="800"/>
    </row>
    <row r="87" spans="1:9" ht="12.75" customHeight="1" x14ac:dyDescent="0.2">
      <c r="A87" s="908"/>
      <c r="B87" s="908"/>
      <c r="C87" s="908"/>
      <c r="D87" s="894"/>
      <c r="E87" s="895"/>
      <c r="F87" s="895"/>
      <c r="G87" s="800"/>
      <c r="H87" s="800"/>
      <c r="I87" s="800"/>
    </row>
    <row r="88" spans="1:9" ht="12.75" customHeight="1" x14ac:dyDescent="0.2">
      <c r="A88" s="908"/>
      <c r="B88" s="908"/>
      <c r="C88" s="908"/>
      <c r="D88" s="894"/>
      <c r="E88" s="895"/>
      <c r="F88" s="895"/>
      <c r="G88" s="800"/>
      <c r="H88" s="800"/>
      <c r="I88" s="800"/>
    </row>
    <row r="89" spans="1:9" ht="12.75" customHeight="1" x14ac:dyDescent="0.2">
      <c r="A89" s="908"/>
      <c r="B89" s="908"/>
      <c r="C89" s="908"/>
      <c r="D89" s="894"/>
      <c r="E89" s="895"/>
      <c r="F89" s="895"/>
      <c r="G89" s="800"/>
      <c r="H89" s="800"/>
      <c r="I89" s="800"/>
    </row>
    <row r="90" spans="1:9" ht="12.75" customHeight="1" x14ac:dyDescent="0.2">
      <c r="A90" s="908"/>
      <c r="B90" s="908"/>
      <c r="C90" s="908"/>
      <c r="D90" s="894"/>
      <c r="E90" s="895"/>
      <c r="F90" s="895"/>
      <c r="G90" s="800"/>
      <c r="H90" s="800"/>
      <c r="I90" s="800"/>
    </row>
    <row r="91" spans="1:9" ht="12.75" customHeight="1" x14ac:dyDescent="0.2">
      <c r="A91" s="908"/>
      <c r="B91" s="908"/>
      <c r="C91" s="908"/>
      <c r="D91" s="894" t="s">
        <v>460</v>
      </c>
      <c r="E91" s="895" t="s">
        <v>461</v>
      </c>
      <c r="F91" s="895"/>
      <c r="G91" s="800"/>
      <c r="H91" s="800"/>
      <c r="I91" s="800"/>
    </row>
    <row r="92" spans="1:9" ht="12.75" customHeight="1" x14ac:dyDescent="0.2">
      <c r="A92" s="908"/>
      <c r="B92" s="908"/>
      <c r="C92" s="908"/>
      <c r="D92" s="894"/>
      <c r="E92" s="895"/>
      <c r="F92" s="895"/>
      <c r="G92" s="800"/>
      <c r="H92" s="800"/>
      <c r="I92" s="800"/>
    </row>
    <row r="93" spans="1:9" ht="12.75" customHeight="1" x14ac:dyDescent="0.2">
      <c r="A93" s="908"/>
      <c r="B93" s="908"/>
      <c r="C93" s="908"/>
      <c r="D93" s="894"/>
      <c r="E93" s="895"/>
      <c r="F93" s="895"/>
      <c r="G93" s="800"/>
      <c r="H93" s="800"/>
      <c r="I93" s="800"/>
    </row>
    <row r="94" spans="1:9" ht="12.75" customHeight="1" x14ac:dyDescent="0.2">
      <c r="A94" s="908"/>
      <c r="B94" s="908"/>
      <c r="C94" s="908"/>
      <c r="D94" s="894"/>
      <c r="E94" s="895"/>
      <c r="F94" s="895"/>
      <c r="G94" s="800"/>
      <c r="H94" s="800"/>
      <c r="I94" s="800"/>
    </row>
    <row r="95" spans="1:9" ht="12.75" customHeight="1" x14ac:dyDescent="0.2">
      <c r="A95" s="908"/>
      <c r="B95" s="908"/>
      <c r="C95" s="908"/>
      <c r="D95" s="894"/>
      <c r="E95" s="895"/>
      <c r="F95" s="895"/>
      <c r="G95" s="800"/>
      <c r="H95" s="800"/>
      <c r="I95" s="800"/>
    </row>
    <row r="96" spans="1:9" ht="12.75" customHeight="1" x14ac:dyDescent="0.2">
      <c r="A96" s="908"/>
      <c r="B96" s="908"/>
      <c r="C96" s="908"/>
      <c r="D96" s="894"/>
      <c r="E96" s="895" t="s">
        <v>462</v>
      </c>
      <c r="F96" s="895"/>
      <c r="G96" s="912"/>
      <c r="H96" s="912"/>
      <c r="I96" s="912"/>
    </row>
    <row r="97" spans="1:9" ht="12.75" customHeight="1" x14ac:dyDescent="0.2">
      <c r="A97" s="908"/>
      <c r="B97" s="908"/>
      <c r="C97" s="908"/>
      <c r="D97" s="894"/>
      <c r="E97" s="895"/>
      <c r="F97" s="895"/>
      <c r="G97" s="912"/>
      <c r="H97" s="912"/>
      <c r="I97" s="912"/>
    </row>
    <row r="98" spans="1:9" ht="12.75" customHeight="1" x14ac:dyDescent="0.2">
      <c r="A98" s="908"/>
      <c r="B98" s="908"/>
      <c r="C98" s="908"/>
      <c r="D98" s="894"/>
      <c r="E98" s="895" t="s">
        <v>463</v>
      </c>
      <c r="F98" s="895"/>
      <c r="G98" s="800"/>
      <c r="H98" s="800"/>
      <c r="I98" s="800"/>
    </row>
    <row r="99" spans="1:9" ht="12.75" customHeight="1" x14ac:dyDescent="0.2">
      <c r="A99" s="908"/>
      <c r="B99" s="908"/>
      <c r="C99" s="908"/>
      <c r="D99" s="894"/>
      <c r="E99" s="895"/>
      <c r="F99" s="895"/>
      <c r="G99" s="800"/>
      <c r="H99" s="800"/>
      <c r="I99" s="800"/>
    </row>
    <row r="100" spans="1:9" ht="12.75" customHeight="1" x14ac:dyDescent="0.2">
      <c r="A100" s="908"/>
      <c r="B100" s="908"/>
      <c r="C100" s="908"/>
      <c r="D100" s="894"/>
      <c r="E100" s="895"/>
      <c r="F100" s="895"/>
      <c r="G100" s="800"/>
      <c r="H100" s="800"/>
      <c r="I100" s="800"/>
    </row>
    <row r="101" spans="1:9" ht="12.75" customHeight="1" x14ac:dyDescent="0.2">
      <c r="A101" s="908"/>
      <c r="B101" s="908"/>
      <c r="C101" s="908"/>
      <c r="D101" s="894"/>
      <c r="E101" s="895"/>
      <c r="F101" s="895"/>
      <c r="G101" s="800"/>
      <c r="H101" s="800"/>
      <c r="I101" s="800"/>
    </row>
    <row r="102" spans="1:9" ht="12.75" customHeight="1" x14ac:dyDescent="0.2">
      <c r="A102" s="908"/>
      <c r="B102" s="908"/>
      <c r="C102" s="908"/>
      <c r="D102" s="894"/>
      <c r="E102" s="895"/>
      <c r="F102" s="895"/>
      <c r="G102" s="800"/>
      <c r="H102" s="800"/>
      <c r="I102" s="800"/>
    </row>
    <row r="103" spans="1:9" ht="12.75" customHeight="1" x14ac:dyDescent="0.2">
      <c r="A103" s="908"/>
      <c r="B103" s="908"/>
      <c r="C103" s="908"/>
      <c r="D103" s="894"/>
      <c r="E103" s="895" t="s">
        <v>464</v>
      </c>
      <c r="F103" s="895"/>
      <c r="G103" s="912"/>
      <c r="H103" s="912"/>
      <c r="I103" s="912"/>
    </row>
    <row r="104" spans="1:9" ht="12.75" customHeight="1" x14ac:dyDescent="0.2">
      <c r="A104" s="908"/>
      <c r="B104" s="908"/>
      <c r="C104" s="908"/>
      <c r="D104" s="894"/>
      <c r="E104" s="895"/>
      <c r="F104" s="895"/>
      <c r="G104" s="912"/>
      <c r="H104" s="912"/>
      <c r="I104" s="912"/>
    </row>
    <row r="105" spans="1:9" ht="12.75" customHeight="1" x14ac:dyDescent="0.2">
      <c r="A105" s="908"/>
      <c r="B105" s="908"/>
      <c r="C105" s="908"/>
      <c r="D105" s="894" t="s">
        <v>465</v>
      </c>
      <c r="E105" s="895" t="s">
        <v>466</v>
      </c>
      <c r="F105" s="895"/>
      <c r="G105" s="801" t="s">
        <v>708</v>
      </c>
      <c r="H105" s="801"/>
      <c r="I105" s="801"/>
    </row>
    <row r="106" spans="1:9" ht="12.75" customHeight="1" x14ac:dyDescent="0.2">
      <c r="A106" s="908"/>
      <c r="B106" s="908"/>
      <c r="C106" s="908"/>
      <c r="D106" s="894"/>
      <c r="E106" s="895"/>
      <c r="F106" s="895"/>
      <c r="G106" s="801"/>
      <c r="H106" s="801"/>
      <c r="I106" s="801"/>
    </row>
    <row r="107" spans="1:9" ht="12.75" customHeight="1" x14ac:dyDescent="0.2">
      <c r="A107" s="908"/>
      <c r="B107" s="908"/>
      <c r="C107" s="908"/>
      <c r="D107" s="894"/>
      <c r="E107" s="895"/>
      <c r="F107" s="895"/>
      <c r="G107" s="801"/>
      <c r="H107" s="801"/>
      <c r="I107" s="801"/>
    </row>
    <row r="108" spans="1:9" ht="12.75" customHeight="1" x14ac:dyDescent="0.2">
      <c r="A108" s="908"/>
      <c r="B108" s="908"/>
      <c r="C108" s="908"/>
      <c r="D108" s="894"/>
      <c r="E108" s="895"/>
      <c r="F108" s="895"/>
      <c r="G108" s="801"/>
      <c r="H108" s="801"/>
      <c r="I108" s="801"/>
    </row>
    <row r="109" spans="1:9" ht="12.75" customHeight="1" x14ac:dyDescent="0.2">
      <c r="A109" s="908"/>
      <c r="B109" s="908"/>
      <c r="C109" s="908"/>
      <c r="D109" s="894"/>
      <c r="E109" s="895"/>
      <c r="F109" s="895"/>
      <c r="G109" s="801"/>
      <c r="H109" s="801"/>
      <c r="I109" s="801"/>
    </row>
    <row r="110" spans="1:9" ht="12.75" customHeight="1" x14ac:dyDescent="0.2">
      <c r="A110" s="908"/>
      <c r="B110" s="908"/>
      <c r="C110" s="908"/>
      <c r="D110" s="894"/>
      <c r="E110" s="895" t="s">
        <v>467</v>
      </c>
      <c r="F110" s="895"/>
      <c r="G110" s="912"/>
      <c r="H110" s="912"/>
      <c r="I110" s="912"/>
    </row>
    <row r="111" spans="1:9" ht="12.75" customHeight="1" x14ac:dyDescent="0.2">
      <c r="A111" s="908"/>
      <c r="B111" s="908"/>
      <c r="C111" s="908"/>
      <c r="D111" s="894"/>
      <c r="E111" s="895"/>
      <c r="F111" s="895"/>
      <c r="G111" s="912"/>
      <c r="H111" s="912"/>
      <c r="I111" s="912"/>
    </row>
    <row r="112" spans="1:9" ht="12.75" customHeight="1" x14ac:dyDescent="0.2">
      <c r="A112" s="913" t="s">
        <v>710</v>
      </c>
      <c r="B112" s="913" t="s">
        <v>454</v>
      </c>
      <c r="C112" s="913" t="s">
        <v>168</v>
      </c>
      <c r="D112" s="603" t="s">
        <v>456</v>
      </c>
      <c r="E112" s="911" t="s">
        <v>457</v>
      </c>
      <c r="F112" s="911"/>
      <c r="G112" s="801" t="s">
        <v>455</v>
      </c>
      <c r="H112" s="801"/>
      <c r="I112" s="801"/>
    </row>
    <row r="113" spans="1:9" ht="12.75" customHeight="1" x14ac:dyDescent="0.2">
      <c r="A113" s="913"/>
      <c r="B113" s="913"/>
      <c r="C113" s="913"/>
      <c r="D113" s="894"/>
      <c r="E113" s="895"/>
      <c r="F113" s="895"/>
      <c r="G113" s="801"/>
      <c r="H113" s="801"/>
      <c r="I113" s="801"/>
    </row>
    <row r="114" spans="1:9" ht="12.75" customHeight="1" x14ac:dyDescent="0.2">
      <c r="A114" s="913"/>
      <c r="B114" s="913"/>
      <c r="C114" s="913"/>
      <c r="D114" s="894"/>
      <c r="E114" s="895"/>
      <c r="F114" s="895"/>
      <c r="G114" s="801"/>
      <c r="H114" s="801"/>
      <c r="I114" s="801"/>
    </row>
    <row r="115" spans="1:9" ht="12.75" customHeight="1" x14ac:dyDescent="0.2">
      <c r="A115" s="913"/>
      <c r="B115" s="913"/>
      <c r="C115" s="913"/>
      <c r="D115" s="894"/>
      <c r="E115" s="895"/>
      <c r="F115" s="895"/>
      <c r="G115" s="801"/>
      <c r="H115" s="801"/>
      <c r="I115" s="801"/>
    </row>
    <row r="116" spans="1:9" ht="12.75" customHeight="1" x14ac:dyDescent="0.2">
      <c r="A116" s="913"/>
      <c r="B116" s="913"/>
      <c r="C116" s="913"/>
      <c r="D116" s="894"/>
      <c r="E116" s="895"/>
      <c r="F116" s="895"/>
      <c r="G116" s="801"/>
      <c r="H116" s="801"/>
      <c r="I116" s="801"/>
    </row>
    <row r="117" spans="1:9" ht="12.75" customHeight="1" x14ac:dyDescent="0.2">
      <c r="A117" s="913"/>
      <c r="B117" s="913"/>
      <c r="C117" s="913"/>
      <c r="D117" s="894" t="s">
        <v>458</v>
      </c>
      <c r="E117" s="895" t="s">
        <v>459</v>
      </c>
      <c r="F117" s="895"/>
      <c r="G117" s="800"/>
      <c r="H117" s="800"/>
      <c r="I117" s="800"/>
    </row>
    <row r="118" spans="1:9" ht="12.75" customHeight="1" x14ac:dyDescent="0.2">
      <c r="A118" s="913"/>
      <c r="B118" s="913"/>
      <c r="C118" s="913"/>
      <c r="D118" s="894"/>
      <c r="E118" s="895"/>
      <c r="F118" s="895"/>
      <c r="G118" s="800"/>
      <c r="H118" s="800"/>
      <c r="I118" s="800"/>
    </row>
    <row r="119" spans="1:9" ht="12.75" customHeight="1" x14ac:dyDescent="0.2">
      <c r="A119" s="913"/>
      <c r="B119" s="913"/>
      <c r="C119" s="913"/>
      <c r="D119" s="894"/>
      <c r="E119" s="895"/>
      <c r="F119" s="895"/>
      <c r="G119" s="800"/>
      <c r="H119" s="800"/>
      <c r="I119" s="800"/>
    </row>
    <row r="120" spans="1:9" ht="12.75" customHeight="1" x14ac:dyDescent="0.2">
      <c r="A120" s="913"/>
      <c r="B120" s="913"/>
      <c r="C120" s="913"/>
      <c r="D120" s="894"/>
      <c r="E120" s="895"/>
      <c r="F120" s="895"/>
      <c r="G120" s="800"/>
      <c r="H120" s="800"/>
      <c r="I120" s="800"/>
    </row>
    <row r="121" spans="1:9" ht="12.75" customHeight="1" x14ac:dyDescent="0.2">
      <c r="A121" s="913"/>
      <c r="B121" s="913"/>
      <c r="C121" s="913"/>
      <c r="D121" s="894"/>
      <c r="E121" s="895"/>
      <c r="F121" s="895"/>
      <c r="G121" s="800"/>
      <c r="H121" s="800"/>
      <c r="I121" s="800"/>
    </row>
    <row r="122" spans="1:9" ht="12.75" customHeight="1" x14ac:dyDescent="0.2">
      <c r="A122" s="913"/>
      <c r="B122" s="913"/>
      <c r="C122" s="913"/>
      <c r="D122" s="894" t="s">
        <v>460</v>
      </c>
      <c r="E122" s="895" t="s">
        <v>461</v>
      </c>
      <c r="F122" s="895"/>
      <c r="G122" s="800"/>
      <c r="H122" s="800"/>
      <c r="I122" s="800"/>
    </row>
    <row r="123" spans="1:9" ht="12.75" customHeight="1" x14ac:dyDescent="0.2">
      <c r="A123" s="913"/>
      <c r="B123" s="913"/>
      <c r="C123" s="913"/>
      <c r="D123" s="894"/>
      <c r="E123" s="895"/>
      <c r="F123" s="895"/>
      <c r="G123" s="800"/>
      <c r="H123" s="800"/>
      <c r="I123" s="800"/>
    </row>
    <row r="124" spans="1:9" ht="12.75" customHeight="1" x14ac:dyDescent="0.2">
      <c r="A124" s="913"/>
      <c r="B124" s="913"/>
      <c r="C124" s="913"/>
      <c r="D124" s="894"/>
      <c r="E124" s="895"/>
      <c r="F124" s="895"/>
      <c r="G124" s="800"/>
      <c r="H124" s="800"/>
      <c r="I124" s="800"/>
    </row>
    <row r="125" spans="1:9" ht="12.75" customHeight="1" x14ac:dyDescent="0.2">
      <c r="A125" s="913"/>
      <c r="B125" s="913"/>
      <c r="C125" s="913"/>
      <c r="D125" s="894"/>
      <c r="E125" s="895"/>
      <c r="F125" s="895"/>
      <c r="G125" s="800"/>
      <c r="H125" s="800"/>
      <c r="I125" s="800"/>
    </row>
    <row r="126" spans="1:9" ht="12.75" customHeight="1" x14ac:dyDescent="0.2">
      <c r="A126" s="913"/>
      <c r="B126" s="913"/>
      <c r="C126" s="913"/>
      <c r="D126" s="894"/>
      <c r="E126" s="895"/>
      <c r="F126" s="895"/>
      <c r="G126" s="800"/>
      <c r="H126" s="800"/>
      <c r="I126" s="800"/>
    </row>
    <row r="127" spans="1:9" ht="12.75" customHeight="1" x14ac:dyDescent="0.2">
      <c r="A127" s="913"/>
      <c r="B127" s="913"/>
      <c r="C127" s="913"/>
      <c r="D127" s="894"/>
      <c r="E127" s="895" t="s">
        <v>462</v>
      </c>
      <c r="F127" s="895"/>
      <c r="G127" s="912"/>
      <c r="H127" s="912"/>
      <c r="I127" s="912"/>
    </row>
    <row r="128" spans="1:9" ht="12.75" customHeight="1" x14ac:dyDescent="0.2">
      <c r="A128" s="913"/>
      <c r="B128" s="913"/>
      <c r="C128" s="913"/>
      <c r="D128" s="894"/>
      <c r="E128" s="895"/>
      <c r="F128" s="895"/>
      <c r="G128" s="912"/>
      <c r="H128" s="912"/>
      <c r="I128" s="912"/>
    </row>
    <row r="129" spans="1:9" ht="12.75" customHeight="1" x14ac:dyDescent="0.2">
      <c r="A129" s="913"/>
      <c r="B129" s="913"/>
      <c r="C129" s="913"/>
      <c r="D129" s="894"/>
      <c r="E129" s="895" t="s">
        <v>463</v>
      </c>
      <c r="F129" s="895"/>
      <c r="G129" s="800"/>
      <c r="H129" s="800"/>
      <c r="I129" s="800"/>
    </row>
    <row r="130" spans="1:9" ht="12.75" customHeight="1" x14ac:dyDescent="0.2">
      <c r="A130" s="913"/>
      <c r="B130" s="913"/>
      <c r="C130" s="913"/>
      <c r="D130" s="894"/>
      <c r="E130" s="895"/>
      <c r="F130" s="895"/>
      <c r="G130" s="800"/>
      <c r="H130" s="800"/>
      <c r="I130" s="800"/>
    </row>
    <row r="131" spans="1:9" ht="12.75" customHeight="1" x14ac:dyDescent="0.2">
      <c r="A131" s="913"/>
      <c r="B131" s="913"/>
      <c r="C131" s="913"/>
      <c r="D131" s="894"/>
      <c r="E131" s="895"/>
      <c r="F131" s="895"/>
      <c r="G131" s="800"/>
      <c r="H131" s="800"/>
      <c r="I131" s="800"/>
    </row>
    <row r="132" spans="1:9" ht="12.75" customHeight="1" x14ac:dyDescent="0.2">
      <c r="A132" s="913"/>
      <c r="B132" s="913"/>
      <c r="C132" s="913"/>
      <c r="D132" s="894"/>
      <c r="E132" s="895"/>
      <c r="F132" s="895"/>
      <c r="G132" s="800"/>
      <c r="H132" s="800"/>
      <c r="I132" s="800"/>
    </row>
    <row r="133" spans="1:9" ht="12.75" customHeight="1" x14ac:dyDescent="0.2">
      <c r="A133" s="913"/>
      <c r="B133" s="913"/>
      <c r="C133" s="913"/>
      <c r="D133" s="894"/>
      <c r="E133" s="895"/>
      <c r="F133" s="895"/>
      <c r="G133" s="800"/>
      <c r="H133" s="800"/>
      <c r="I133" s="800"/>
    </row>
    <row r="134" spans="1:9" ht="12.75" customHeight="1" x14ac:dyDescent="0.2">
      <c r="A134" s="913"/>
      <c r="B134" s="913"/>
      <c r="C134" s="913"/>
      <c r="D134" s="894"/>
      <c r="E134" s="895" t="s">
        <v>464</v>
      </c>
      <c r="F134" s="895"/>
      <c r="G134" s="912"/>
      <c r="H134" s="912"/>
      <c r="I134" s="912"/>
    </row>
    <row r="135" spans="1:9" ht="12.75" customHeight="1" x14ac:dyDescent="0.2">
      <c r="A135" s="913"/>
      <c r="B135" s="913"/>
      <c r="C135" s="913"/>
      <c r="D135" s="894"/>
      <c r="E135" s="895"/>
      <c r="F135" s="895"/>
      <c r="G135" s="912"/>
      <c r="H135" s="912"/>
      <c r="I135" s="912"/>
    </row>
    <row r="136" spans="1:9" ht="12.75" customHeight="1" x14ac:dyDescent="0.2">
      <c r="A136" s="913"/>
      <c r="B136" s="913"/>
      <c r="C136" s="913"/>
      <c r="D136" s="894" t="s">
        <v>465</v>
      </c>
      <c r="E136" s="895" t="s">
        <v>466</v>
      </c>
      <c r="F136" s="895"/>
      <c r="G136" s="800"/>
      <c r="H136" s="800"/>
      <c r="I136" s="800"/>
    </row>
    <row r="137" spans="1:9" ht="12.75" customHeight="1" x14ac:dyDescent="0.2">
      <c r="A137" s="913"/>
      <c r="B137" s="913"/>
      <c r="C137" s="913"/>
      <c r="D137" s="894"/>
      <c r="E137" s="895"/>
      <c r="F137" s="895"/>
      <c r="G137" s="800"/>
      <c r="H137" s="800"/>
      <c r="I137" s="800"/>
    </row>
    <row r="138" spans="1:9" ht="12.75" customHeight="1" x14ac:dyDescent="0.2">
      <c r="A138" s="913"/>
      <c r="B138" s="913"/>
      <c r="C138" s="913"/>
      <c r="D138" s="894"/>
      <c r="E138" s="895"/>
      <c r="F138" s="895"/>
      <c r="G138" s="800"/>
      <c r="H138" s="800"/>
      <c r="I138" s="800"/>
    </row>
    <row r="139" spans="1:9" ht="12.75" customHeight="1" x14ac:dyDescent="0.2">
      <c r="A139" s="913"/>
      <c r="B139" s="913"/>
      <c r="C139" s="913"/>
      <c r="D139" s="894"/>
      <c r="E139" s="895"/>
      <c r="F139" s="895"/>
      <c r="G139" s="800"/>
      <c r="H139" s="800"/>
      <c r="I139" s="800"/>
    </row>
    <row r="140" spans="1:9" ht="12.75" customHeight="1" x14ac:dyDescent="0.2">
      <c r="A140" s="913"/>
      <c r="B140" s="913"/>
      <c r="C140" s="913"/>
      <c r="D140" s="894"/>
      <c r="E140" s="895"/>
      <c r="F140" s="895"/>
      <c r="G140" s="800"/>
      <c r="H140" s="800"/>
      <c r="I140" s="800"/>
    </row>
    <row r="141" spans="1:9" ht="12.75" customHeight="1" x14ac:dyDescent="0.2">
      <c r="A141" s="913"/>
      <c r="B141" s="913"/>
      <c r="C141" s="913"/>
      <c r="D141" s="894"/>
      <c r="E141" s="895" t="s">
        <v>467</v>
      </c>
      <c r="F141" s="895"/>
      <c r="G141" s="912"/>
      <c r="H141" s="912"/>
      <c r="I141" s="912"/>
    </row>
    <row r="142" spans="1:9" ht="12.75" customHeight="1" x14ac:dyDescent="0.2">
      <c r="A142" s="913"/>
      <c r="B142" s="913"/>
      <c r="C142" s="913"/>
      <c r="D142" s="894"/>
      <c r="E142" s="895"/>
      <c r="F142" s="895"/>
      <c r="G142" s="912"/>
      <c r="H142" s="912"/>
      <c r="I142" s="912"/>
    </row>
    <row r="143" spans="1:9" ht="12.75" customHeight="1" x14ac:dyDescent="0.2">
      <c r="A143" s="908" t="s">
        <v>706</v>
      </c>
      <c r="B143" s="908" t="s">
        <v>468</v>
      </c>
      <c r="C143" s="908" t="s">
        <v>168</v>
      </c>
      <c r="D143" s="896" t="s">
        <v>456</v>
      </c>
      <c r="E143" s="897" t="s">
        <v>469</v>
      </c>
      <c r="F143" s="897"/>
      <c r="G143" s="909" t="s">
        <v>455</v>
      </c>
      <c r="H143" s="909"/>
      <c r="I143" s="909"/>
    </row>
    <row r="144" spans="1:9" ht="12.75" customHeight="1" x14ac:dyDescent="0.2">
      <c r="A144" s="908"/>
      <c r="B144" s="908"/>
      <c r="C144" s="908"/>
      <c r="D144" s="896"/>
      <c r="E144" s="897"/>
      <c r="F144" s="897"/>
      <c r="G144" s="909"/>
      <c r="H144" s="909"/>
      <c r="I144" s="909"/>
    </row>
    <row r="145" spans="1:9" ht="12.75" customHeight="1" x14ac:dyDescent="0.2">
      <c r="A145" s="908"/>
      <c r="B145" s="908"/>
      <c r="C145" s="908"/>
      <c r="D145" s="896"/>
      <c r="E145" s="897"/>
      <c r="F145" s="897"/>
      <c r="G145" s="909"/>
      <c r="H145" s="909"/>
      <c r="I145" s="909"/>
    </row>
    <row r="146" spans="1:9" ht="12.75" customHeight="1" x14ac:dyDescent="0.2">
      <c r="A146" s="908"/>
      <c r="B146" s="908"/>
      <c r="C146" s="908"/>
      <c r="D146" s="896"/>
      <c r="E146" s="897"/>
      <c r="F146" s="897"/>
      <c r="G146" s="909"/>
      <c r="H146" s="909"/>
      <c r="I146" s="909"/>
    </row>
    <row r="147" spans="1:9" ht="12.75" customHeight="1" x14ac:dyDescent="0.2">
      <c r="A147" s="908"/>
      <c r="B147" s="908"/>
      <c r="C147" s="908"/>
      <c r="D147" s="896"/>
      <c r="E147" s="897"/>
      <c r="F147" s="897"/>
      <c r="G147" s="909"/>
      <c r="H147" s="909"/>
      <c r="I147" s="909"/>
    </row>
  </sheetData>
  <sheetProtection algorithmName="SHA-512" hashValue="Mreww27Qb6WpdtqwuD2qO96fw1gpmW96gEami2cKOYgoZ9MWdnf+H2PXKuq3l4VO15aMNOMZyWRNTI7VQ9C83w==" saltValue="7+oYTnA9aZ60eWnLlvBeSQ==" spinCount="100000" sheet="1" objects="1" scenarios="1"/>
  <mergeCells count="166">
    <mergeCell ref="G134:I135"/>
    <mergeCell ref="D136:D142"/>
    <mergeCell ref="E136:F140"/>
    <mergeCell ref="G136:I140"/>
    <mergeCell ref="E141:F142"/>
    <mergeCell ref="G141:I142"/>
    <mergeCell ref="E122:F126"/>
    <mergeCell ref="G122:I126"/>
    <mergeCell ref="E127:F128"/>
    <mergeCell ref="G127:I128"/>
    <mergeCell ref="E129:F133"/>
    <mergeCell ref="G129:I133"/>
    <mergeCell ref="A143:A147"/>
    <mergeCell ref="B143:B147"/>
    <mergeCell ref="C143:C147"/>
    <mergeCell ref="D143:D147"/>
    <mergeCell ref="E143:F147"/>
    <mergeCell ref="G143:I147"/>
    <mergeCell ref="E103:F104"/>
    <mergeCell ref="G103:I104"/>
    <mergeCell ref="D105:D111"/>
    <mergeCell ref="E105:F109"/>
    <mergeCell ref="G105:I109"/>
    <mergeCell ref="E110:F111"/>
    <mergeCell ref="G110:I111"/>
    <mergeCell ref="A112:A142"/>
    <mergeCell ref="B112:B142"/>
    <mergeCell ref="C112:C142"/>
    <mergeCell ref="D112:D116"/>
    <mergeCell ref="E112:F116"/>
    <mergeCell ref="G112:I116"/>
    <mergeCell ref="D117:D121"/>
    <mergeCell ref="E117:F121"/>
    <mergeCell ref="G117:I121"/>
    <mergeCell ref="D122:D135"/>
    <mergeCell ref="E134:F135"/>
    <mergeCell ref="A76:C77"/>
    <mergeCell ref="D76:I77"/>
    <mergeCell ref="A79:I79"/>
    <mergeCell ref="D80:I80"/>
    <mergeCell ref="A81:A111"/>
    <mergeCell ref="B81:B111"/>
    <mergeCell ref="C81:C111"/>
    <mergeCell ref="D81:D85"/>
    <mergeCell ref="E81:F85"/>
    <mergeCell ref="G81:I85"/>
    <mergeCell ref="D86:D90"/>
    <mergeCell ref="E86:F90"/>
    <mergeCell ref="G86:I90"/>
    <mergeCell ref="D91:D104"/>
    <mergeCell ref="E91:F95"/>
    <mergeCell ref="G91:I95"/>
    <mergeCell ref="E96:F97"/>
    <mergeCell ref="G96:I97"/>
    <mergeCell ref="E98:F102"/>
    <mergeCell ref="G98:I102"/>
    <mergeCell ref="A71:C71"/>
    <mergeCell ref="D71:E71"/>
    <mergeCell ref="F71:G71"/>
    <mergeCell ref="H71:I71"/>
    <mergeCell ref="A73:C73"/>
    <mergeCell ref="A74:C75"/>
    <mergeCell ref="D74:I75"/>
    <mergeCell ref="A69:C69"/>
    <mergeCell ref="D69:E69"/>
    <mergeCell ref="F69:G69"/>
    <mergeCell ref="H69:I69"/>
    <mergeCell ref="A70:C70"/>
    <mergeCell ref="D70:E70"/>
    <mergeCell ref="F70:G70"/>
    <mergeCell ref="H70:I70"/>
    <mergeCell ref="D68:E68"/>
    <mergeCell ref="F68:G68"/>
    <mergeCell ref="H68:I68"/>
    <mergeCell ref="G58:G61"/>
    <mergeCell ref="H58:H61"/>
    <mergeCell ref="I58:I61"/>
    <mergeCell ref="A62:I62"/>
    <mergeCell ref="A63:A66"/>
    <mergeCell ref="B63:B66"/>
    <mergeCell ref="C63:C66"/>
    <mergeCell ref="D63:D66"/>
    <mergeCell ref="E63:E66"/>
    <mergeCell ref="F63:F66"/>
    <mergeCell ref="A57:I57"/>
    <mergeCell ref="A58:A61"/>
    <mergeCell ref="B58:B61"/>
    <mergeCell ref="C58:C61"/>
    <mergeCell ref="D58:D61"/>
    <mergeCell ref="E58:E61"/>
    <mergeCell ref="F58:F61"/>
    <mergeCell ref="G63:G66"/>
    <mergeCell ref="H63:H66"/>
    <mergeCell ref="I63:I66"/>
    <mergeCell ref="A52:I52"/>
    <mergeCell ref="A53:A56"/>
    <mergeCell ref="B53:B56"/>
    <mergeCell ref="C53:C56"/>
    <mergeCell ref="D53:D56"/>
    <mergeCell ref="E53:E56"/>
    <mergeCell ref="F53:F56"/>
    <mergeCell ref="G53:G56"/>
    <mergeCell ref="H53:H56"/>
    <mergeCell ref="I53:I56"/>
    <mergeCell ref="A45:C47"/>
    <mergeCell ref="D45:E47"/>
    <mergeCell ref="F45:G47"/>
    <mergeCell ref="H45:I47"/>
    <mergeCell ref="A49:A51"/>
    <mergeCell ref="B49:B51"/>
    <mergeCell ref="C49:C51"/>
    <mergeCell ref="D49:D51"/>
    <mergeCell ref="E49:E51"/>
    <mergeCell ref="F49:F51"/>
    <mergeCell ref="G49:G51"/>
    <mergeCell ref="H49:H51"/>
    <mergeCell ref="I49:I51"/>
    <mergeCell ref="A42:C42"/>
    <mergeCell ref="D42:E42"/>
    <mergeCell ref="F42:G42"/>
    <mergeCell ref="H42:I42"/>
    <mergeCell ref="A43:C44"/>
    <mergeCell ref="D43:E44"/>
    <mergeCell ref="F43:G44"/>
    <mergeCell ref="H43:I44"/>
    <mergeCell ref="A32:C40"/>
    <mergeCell ref="D32:E40"/>
    <mergeCell ref="F32:G40"/>
    <mergeCell ref="H32:I40"/>
    <mergeCell ref="A41:C41"/>
    <mergeCell ref="D41:E41"/>
    <mergeCell ref="F41:G41"/>
    <mergeCell ref="H41:I41"/>
    <mergeCell ref="A27:C28"/>
    <mergeCell ref="D27:I28"/>
    <mergeCell ref="D30:E30"/>
    <mergeCell ref="F30:G30"/>
    <mergeCell ref="H30:I30"/>
    <mergeCell ref="A31:C31"/>
    <mergeCell ref="D31:E31"/>
    <mergeCell ref="F31:G31"/>
    <mergeCell ref="H31:I31"/>
    <mergeCell ref="A24:C24"/>
    <mergeCell ref="D24:I24"/>
    <mergeCell ref="A25:C25"/>
    <mergeCell ref="D25:I25"/>
    <mergeCell ref="A26:C26"/>
    <mergeCell ref="D26:I26"/>
    <mergeCell ref="A21:C21"/>
    <mergeCell ref="D21:I21"/>
    <mergeCell ref="A22:C22"/>
    <mergeCell ref="D22:I22"/>
    <mergeCell ref="A23:C23"/>
    <mergeCell ref="D23:I23"/>
    <mergeCell ref="A11:C13"/>
    <mergeCell ref="D11:I13"/>
    <mergeCell ref="A15:C19"/>
    <mergeCell ref="D15:I19"/>
    <mergeCell ref="A20:C20"/>
    <mergeCell ref="D20:I20"/>
    <mergeCell ref="A8:C8"/>
    <mergeCell ref="D8:I8"/>
    <mergeCell ref="A9:C9"/>
    <mergeCell ref="D9:I9"/>
    <mergeCell ref="A10:C10"/>
    <mergeCell ref="D10:I10"/>
  </mergeCells>
  <conditionalFormatting sqref="G110">
    <cfRule type="containsText" dxfId="164" priority="19" operator="containsText" text="Yes">
      <formula>NOT(ISERROR(SEARCH("Yes",G110)))</formula>
    </cfRule>
    <cfRule type="containsText" dxfId="163" priority="20" operator="containsText" text="No">
      <formula>NOT(ISERROR(SEARCH("No",G110)))</formula>
    </cfRule>
    <cfRule type="containsText" dxfId="162" priority="21" operator="containsText" text="N/A">
      <formula>NOT(ISERROR(SEARCH("N/A",G110)))</formula>
    </cfRule>
  </conditionalFormatting>
  <conditionalFormatting sqref="G103">
    <cfRule type="containsText" dxfId="161" priority="16" operator="containsText" text="Yes">
      <formula>NOT(ISERROR(SEARCH("Yes",G103)))</formula>
    </cfRule>
    <cfRule type="containsText" dxfId="160" priority="17" operator="containsText" text="No">
      <formula>NOT(ISERROR(SEARCH("No",G103)))</formula>
    </cfRule>
    <cfRule type="containsText" dxfId="159" priority="18" operator="containsText" text="N/A">
      <formula>NOT(ISERROR(SEARCH("N/A",G103)))</formula>
    </cfRule>
  </conditionalFormatting>
  <conditionalFormatting sqref="G96">
    <cfRule type="containsText" dxfId="158" priority="10" operator="containsText" text="Yes">
      <formula>NOT(ISERROR(SEARCH("Yes",G96)))</formula>
    </cfRule>
    <cfRule type="containsText" dxfId="157" priority="11" operator="containsText" text="No">
      <formula>NOT(ISERROR(SEARCH("No",G96)))</formula>
    </cfRule>
    <cfRule type="containsText" dxfId="156" priority="12" operator="containsText" text="N/A">
      <formula>NOT(ISERROR(SEARCH("N/A",G96)))</formula>
    </cfRule>
  </conditionalFormatting>
  <conditionalFormatting sqref="G127">
    <cfRule type="containsText" dxfId="155" priority="1" operator="containsText" text="Yes">
      <formula>NOT(ISERROR(SEARCH("Yes",G127)))</formula>
    </cfRule>
    <cfRule type="containsText" dxfId="154" priority="2" operator="containsText" text="No">
      <formula>NOT(ISERROR(SEARCH("No",G127)))</formula>
    </cfRule>
    <cfRule type="containsText" dxfId="153" priority="3" operator="containsText" text="N/A">
      <formula>NOT(ISERROR(SEARCH("N/A",G127)))</formula>
    </cfRule>
  </conditionalFormatting>
  <conditionalFormatting sqref="G141">
    <cfRule type="containsText" dxfId="152" priority="7" operator="containsText" text="Yes">
      <formula>NOT(ISERROR(SEARCH("Yes",G141)))</formula>
    </cfRule>
    <cfRule type="containsText" dxfId="151" priority="8" operator="containsText" text="No">
      <formula>NOT(ISERROR(SEARCH("No",G141)))</formula>
    </cfRule>
    <cfRule type="containsText" dxfId="150" priority="9" operator="containsText" text="N/A">
      <formula>NOT(ISERROR(SEARCH("N/A",G141)))</formula>
    </cfRule>
  </conditionalFormatting>
  <conditionalFormatting sqref="G134">
    <cfRule type="containsText" dxfId="149" priority="4" operator="containsText" text="Yes">
      <formula>NOT(ISERROR(SEARCH("Yes",G134)))</formula>
    </cfRule>
    <cfRule type="containsText" dxfId="148" priority="5" operator="containsText" text="No">
      <formula>NOT(ISERROR(SEARCH("No",G134)))</formula>
    </cfRule>
    <cfRule type="containsText" dxfId="147" priority="6" operator="containsText" text="N/A">
      <formula>NOT(ISERROR(SEARCH("N/A",G134)))</formula>
    </cfRule>
  </conditionalFormatting>
  <pageMargins left="0.7" right="0.7" top="0.75" bottom="0.75" header="0.3" footer="0.3"/>
  <pageSetup scale="50" fitToHeight="0" orientation="landscape" r:id="rId1"/>
  <drawing r:id="rId2"/>
  <legacyDrawing r:id="rId3"/>
  <controls>
    <mc:AlternateContent xmlns:mc="http://schemas.openxmlformats.org/markup-compatibility/2006">
      <mc:Choice Requires="x14">
        <control shapeId="17409"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7409" r:id="rId4" name="backMenuBtn"/>
      </mc:Fallback>
    </mc:AlternateContent>
    <mc:AlternateContent xmlns:mc="http://schemas.openxmlformats.org/markup-compatibility/2006">
      <mc:Choice Requires="x14">
        <control shapeId="17410" r:id="rId6" name="CommandButton1">
          <controlPr defaultSize="0" autoLine="0" r:id="rId7">
            <anchor moveWithCells="1">
              <from>
                <xdr:col>1</xdr:col>
                <xdr:colOff>1352550</xdr:colOff>
                <xdr:row>0</xdr:row>
                <xdr:rowOff>0</xdr:rowOff>
              </from>
              <to>
                <xdr:col>2</xdr:col>
                <xdr:colOff>1190625</xdr:colOff>
                <xdr:row>1</xdr:row>
                <xdr:rowOff>114300</xdr:rowOff>
              </to>
            </anchor>
          </controlPr>
        </control>
      </mc:Choice>
      <mc:Fallback>
        <control shapeId="17410" r:id="rId6" name="CommandButton1"/>
      </mc:Fallback>
    </mc:AlternateContent>
    <mc:AlternateContent xmlns:mc="http://schemas.openxmlformats.org/markup-compatibility/2006">
      <mc:Choice Requires="x14">
        <control shapeId="17411" r:id="rId8" name="CommandButton2">
          <controlPr defaultSize="0" autoLine="0" r:id="rId9">
            <anchor moveWithCells="1">
              <from>
                <xdr:col>1</xdr:col>
                <xdr:colOff>19050</xdr:colOff>
                <xdr:row>0</xdr:row>
                <xdr:rowOff>9525</xdr:rowOff>
              </from>
              <to>
                <xdr:col>1</xdr:col>
                <xdr:colOff>1219200</xdr:colOff>
                <xdr:row>1</xdr:row>
                <xdr:rowOff>123825</xdr:rowOff>
              </to>
            </anchor>
          </controlPr>
        </control>
      </mc:Choice>
      <mc:Fallback>
        <control shapeId="17411"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Dropdown!$H$2:$H$13</xm:f>
          </x14:formula1>
          <xm:sqref>D45:I47 D71:I71</xm:sqref>
        </x14:dataValidation>
        <x14:dataValidation type="list" allowBlank="1" showInputMessage="1" showErrorMessage="1">
          <x14:formula1>
            <xm:f>Dropdown!$I$2:$I$5</xm:f>
          </x14:formula1>
          <xm:sqref>G96:I97 G103:I104 G110:I111 G127:I128 G134:I135 G141:I142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50"/>
    <pageSetUpPr fitToPage="1"/>
  </sheetPr>
  <dimension ref="A1:H148"/>
  <sheetViews>
    <sheetView showGridLines="0" zoomScale="75" zoomScaleNormal="75" zoomScalePageLayoutView="60" workbookViewId="0">
      <pane xSplit="2" ySplit="15" topLeftCell="C16" activePane="bottomRight" state="frozen"/>
      <selection activeCell="C156" sqref="C156"/>
      <selection pane="topRight" activeCell="C156" sqref="C156"/>
      <selection pane="bottomLeft" activeCell="C156" sqref="C156"/>
      <selection pane="bottomRight" activeCell="C156" sqref="C156"/>
    </sheetView>
  </sheetViews>
  <sheetFormatPr defaultColWidth="9.42578125" defaultRowHeight="12.75" customHeight="1" outlineLevelRow="2" x14ac:dyDescent="0.2"/>
  <cols>
    <col min="1" max="8" width="30.5703125" style="267" customWidth="1"/>
    <col min="9" max="16384" width="9.42578125" style="267"/>
  </cols>
  <sheetData>
    <row r="1" spans="1:8" ht="12.75" customHeight="1" x14ac:dyDescent="0.2">
      <c r="A1" s="267" t="s">
        <v>763</v>
      </c>
    </row>
    <row r="3" spans="1:8" ht="12.75" customHeight="1" outlineLevel="1" x14ac:dyDescent="0.2">
      <c r="A3" s="266" t="str">
        <f>Narrative!A3</f>
        <v>ViewRay</v>
      </c>
    </row>
    <row r="4" spans="1:8" ht="12.75" customHeight="1" outlineLevel="1" x14ac:dyDescent="0.2">
      <c r="A4" s="268" t="s">
        <v>394</v>
      </c>
    </row>
    <row r="5" spans="1:8" ht="12.75" customHeight="1" outlineLevel="1" x14ac:dyDescent="0.2">
      <c r="A5" s="266" t="str">
        <f>Narrative!A5</f>
        <v>Financial Close and Reporting (FCR)</v>
      </c>
    </row>
    <row r="6" spans="1:8" ht="12.75" customHeight="1" outlineLevel="1" x14ac:dyDescent="0.2">
      <c r="A6" s="266" t="str">
        <f>Narrative!A6</f>
        <v>FY 2019</v>
      </c>
    </row>
    <row r="7" spans="1:8" ht="12.75" customHeight="1" outlineLevel="1" x14ac:dyDescent="0.2">
      <c r="A7" s="269"/>
      <c r="B7" s="269"/>
      <c r="C7" s="270"/>
      <c r="D7" s="270"/>
      <c r="E7" s="270"/>
      <c r="F7" s="270"/>
      <c r="G7" s="270"/>
      <c r="H7" s="271"/>
    </row>
    <row r="8" spans="1:8" ht="12.75" customHeight="1" x14ac:dyDescent="0.2">
      <c r="A8" s="473" t="s">
        <v>395</v>
      </c>
      <c r="B8" s="474"/>
      <c r="C8" s="470" t="str">
        <f>RCM!A11</f>
        <v>FCR</v>
      </c>
      <c r="D8" s="471"/>
      <c r="E8" s="471"/>
      <c r="F8" s="471"/>
      <c r="G8" s="471"/>
      <c r="H8" s="472"/>
    </row>
    <row r="9" spans="1:8" ht="12.75" customHeight="1" x14ac:dyDescent="0.2">
      <c r="A9" s="466" t="s">
        <v>396</v>
      </c>
      <c r="B9" s="475"/>
      <c r="C9" s="470" t="str">
        <f>VLOOKUP($C$10,RCM!J:X,4,0)</f>
        <v>Corporate Controller/
VP Finance</v>
      </c>
      <c r="D9" s="471"/>
      <c r="E9" s="471"/>
      <c r="F9" s="471"/>
      <c r="G9" s="471"/>
      <c r="H9" s="472"/>
    </row>
    <row r="10" spans="1:8" ht="12.75" customHeight="1" x14ac:dyDescent="0.2">
      <c r="A10" s="459" t="s">
        <v>397</v>
      </c>
      <c r="B10" s="476"/>
      <c r="C10" s="470" t="str">
        <f>RCM!J22</f>
        <v>FCR 5.10</v>
      </c>
      <c r="D10" s="471"/>
      <c r="E10" s="471"/>
      <c r="F10" s="471"/>
      <c r="G10" s="471"/>
      <c r="H10" s="472"/>
    </row>
    <row r="11" spans="1:8" ht="12.75" customHeight="1" x14ac:dyDescent="0.2">
      <c r="A11" s="459" t="s">
        <v>398</v>
      </c>
      <c r="B11" s="459"/>
      <c r="C11" s="460" t="str">
        <f>VLOOKUP($C$10,RCM!J:X,2,0)</f>
        <v>On a quarterly basis, the Senior Manager, SEC &amp; SOX or delegate prepares the Actual versus Actual (AvA) flux analysis for both the balance sheet and P&amp;L.  The AvA analyzes changes quarter over quarter, current quarter versus the last quarter, and year over year.   All variances greater than $100k and 10% are investigated and explained.  Each AvA flux analysis is reviewed by someone other than the preparer to ensure that all variances are properly explained, along with looking at any variances noted in Finance's BvA to ensure there are no other variances to address.   The AvA is signed off by the reviewer, either the Corporate Controller or VP of Finance.</v>
      </c>
      <c r="D11" s="461"/>
      <c r="E11" s="461"/>
      <c r="F11" s="461"/>
      <c r="G11" s="461"/>
      <c r="H11" s="462"/>
    </row>
    <row r="12" spans="1:8" ht="12.75" customHeight="1" x14ac:dyDescent="0.2">
      <c r="A12" s="459"/>
      <c r="B12" s="459"/>
      <c r="C12" s="467"/>
      <c r="D12" s="914"/>
      <c r="E12" s="914"/>
      <c r="F12" s="914"/>
      <c r="G12" s="914"/>
      <c r="H12" s="469"/>
    </row>
    <row r="13" spans="1:8" ht="12.75" customHeight="1" x14ac:dyDescent="0.2">
      <c r="A13" s="459"/>
      <c r="B13" s="459"/>
      <c r="C13" s="467"/>
      <c r="D13" s="468"/>
      <c r="E13" s="468"/>
      <c r="F13" s="468"/>
      <c r="G13" s="468"/>
      <c r="H13" s="469"/>
    </row>
    <row r="14" spans="1:8" ht="12.75" customHeight="1" x14ac:dyDescent="0.2">
      <c r="A14" s="459"/>
      <c r="B14" s="459"/>
      <c r="C14" s="467"/>
      <c r="D14" s="468"/>
      <c r="E14" s="468"/>
      <c r="F14" s="468"/>
      <c r="G14" s="468"/>
      <c r="H14" s="469"/>
    </row>
    <row r="15" spans="1:8" ht="12.75" customHeight="1" x14ac:dyDescent="0.2">
      <c r="A15" s="459"/>
      <c r="B15" s="459"/>
      <c r="C15" s="463" t="e">
        <v>#N/A</v>
      </c>
      <c r="D15" s="464"/>
      <c r="E15" s="464"/>
      <c r="F15" s="464"/>
      <c r="G15" s="464"/>
      <c r="H15" s="465"/>
    </row>
    <row r="16" spans="1:8" ht="12.75" customHeight="1" x14ac:dyDescent="0.2">
      <c r="A16" s="272"/>
      <c r="B16" s="273"/>
      <c r="C16" s="274"/>
      <c r="D16" s="274"/>
      <c r="E16" s="274"/>
      <c r="F16" s="274"/>
      <c r="G16" s="274"/>
      <c r="H16" s="271"/>
    </row>
    <row r="17" spans="1:8" ht="12.75" customHeight="1" x14ac:dyDescent="0.2">
      <c r="A17" s="466" t="s">
        <v>399</v>
      </c>
      <c r="B17" s="466"/>
      <c r="C17" s="460" t="str">
        <f>VLOOKUP($C$10,RCM!J:X,12,)</f>
        <v xml:space="preserve">1. Obtain the AvA fluctuation analysis for the testing period
2. Verify that explanations were provided to the variances exceeding the threshold and properly followed up
3. Verify evidence of review by the Controller or VP of Finance. </v>
      </c>
      <c r="D17" s="461"/>
      <c r="E17" s="461"/>
      <c r="F17" s="461"/>
      <c r="G17" s="461"/>
      <c r="H17" s="462"/>
    </row>
    <row r="18" spans="1:8" ht="12.75" customHeight="1" x14ac:dyDescent="0.2">
      <c r="A18" s="466"/>
      <c r="B18" s="466"/>
      <c r="C18" s="467"/>
      <c r="D18" s="468"/>
      <c r="E18" s="468"/>
      <c r="F18" s="468"/>
      <c r="G18" s="468"/>
      <c r="H18" s="469"/>
    </row>
    <row r="19" spans="1:8" ht="12.75" customHeight="1" x14ac:dyDescent="0.2">
      <c r="A19" s="466"/>
      <c r="B19" s="466"/>
      <c r="C19" s="467"/>
      <c r="D19" s="468"/>
      <c r="E19" s="468"/>
      <c r="F19" s="468"/>
      <c r="G19" s="468"/>
      <c r="H19" s="469"/>
    </row>
    <row r="20" spans="1:8" ht="12.75" customHeight="1" x14ac:dyDescent="0.2">
      <c r="A20" s="466"/>
      <c r="B20" s="466"/>
      <c r="C20" s="463" t="e">
        <v>#N/A</v>
      </c>
      <c r="D20" s="464"/>
      <c r="E20" s="464"/>
      <c r="F20" s="464"/>
      <c r="G20" s="464"/>
      <c r="H20" s="465"/>
    </row>
    <row r="21" spans="1:8" ht="12.75" customHeight="1" x14ac:dyDescent="0.2">
      <c r="A21" s="466" t="s">
        <v>400</v>
      </c>
      <c r="B21" s="466"/>
      <c r="C21" s="470" t="str">
        <f>VLOOKUP($C$10,RCM!J:X,8,0)</f>
        <v>Inspection</v>
      </c>
      <c r="D21" s="471"/>
      <c r="E21" s="471"/>
      <c r="F21" s="471"/>
      <c r="G21" s="471"/>
      <c r="H21" s="472"/>
    </row>
    <row r="22" spans="1:8" ht="12.75" customHeight="1" x14ac:dyDescent="0.2">
      <c r="A22" s="466" t="s">
        <v>401</v>
      </c>
      <c r="B22" s="475"/>
      <c r="C22" s="470" t="str">
        <f>VLOOKUP($C$10,RCM!J:X,5,0)</f>
        <v>Quarterly</v>
      </c>
      <c r="D22" s="471"/>
      <c r="E22" s="471"/>
      <c r="F22" s="471"/>
      <c r="G22" s="471"/>
      <c r="H22" s="472"/>
    </row>
    <row r="23" spans="1:8" ht="12.75" customHeight="1" x14ac:dyDescent="0.2">
      <c r="A23" s="466" t="s">
        <v>402</v>
      </c>
      <c r="B23" s="475"/>
      <c r="C23" s="709" t="str">
        <f>VLOOKUP($C$10,RCM!J:X,3,0)</f>
        <v>Q1 2019</v>
      </c>
      <c r="D23" s="709"/>
      <c r="E23" s="709"/>
      <c r="F23" s="709"/>
      <c r="G23" s="709"/>
      <c r="H23" s="709"/>
    </row>
    <row r="24" spans="1:8" s="275" customFormat="1" ht="12.75" customHeight="1" x14ac:dyDescent="0.2">
      <c r="A24" s="466" t="s">
        <v>403</v>
      </c>
      <c r="B24" s="475"/>
      <c r="C24" s="470" t="str">
        <f>VLOOKUP($C$10,RCM!J:X,10,0)</f>
        <v>High</v>
      </c>
      <c r="D24" s="471"/>
      <c r="E24" s="471"/>
      <c r="F24" s="471"/>
      <c r="G24" s="471"/>
      <c r="H24" s="472"/>
    </row>
    <row r="25" spans="1:8" ht="12.75" customHeight="1" x14ac:dyDescent="0.2">
      <c r="A25" s="466" t="s">
        <v>404</v>
      </c>
      <c r="B25" s="475"/>
      <c r="C25" s="477" t="str">
        <f>RCM!$AB$3</f>
        <v>1/1/19 - 6/30/19</v>
      </c>
      <c r="D25" s="478"/>
      <c r="E25" s="478"/>
      <c r="F25" s="478"/>
      <c r="G25" s="478"/>
      <c r="H25" s="479"/>
    </row>
    <row r="26" spans="1:8" ht="12.75" customHeight="1" x14ac:dyDescent="0.2">
      <c r="A26" s="466" t="s">
        <v>405</v>
      </c>
      <c r="B26" s="475"/>
      <c r="C26" s="706">
        <f>VLOOKUP(C$10,RCM!$J$9:$AG$29,20,0)</f>
        <v>4</v>
      </c>
      <c r="D26" s="707"/>
      <c r="E26" s="707"/>
      <c r="F26" s="707"/>
      <c r="G26" s="707"/>
      <c r="H26" s="708"/>
    </row>
    <row r="27" spans="1:8" ht="12.75" customHeight="1" x14ac:dyDescent="0.2">
      <c r="A27" s="466" t="s">
        <v>406</v>
      </c>
      <c r="B27" s="475"/>
      <c r="C27" s="483" t="str">
        <f>RCM!$AB$5&amp;" "&amp;VLOOKUP(C$10,RCM!$J$9:$AG$29,21,0)&amp;" "&amp;RCM!$AB$6</f>
        <v>Annual sample size: 2 (See sample size derivation below)</v>
      </c>
      <c r="D27" s="484"/>
      <c r="E27" s="484"/>
      <c r="F27" s="484"/>
      <c r="G27" s="484"/>
      <c r="H27" s="485"/>
    </row>
    <row r="28" spans="1:8" ht="12.75" customHeight="1" x14ac:dyDescent="0.2">
      <c r="A28" s="489" t="s">
        <v>407</v>
      </c>
      <c r="B28" s="490"/>
      <c r="C28" s="460" t="s">
        <v>552</v>
      </c>
      <c r="D28" s="461"/>
      <c r="E28" s="461"/>
      <c r="F28" s="461"/>
      <c r="G28" s="461"/>
      <c r="H28" s="462"/>
    </row>
    <row r="29" spans="1:8" s="275" customFormat="1" ht="12.75" customHeight="1" x14ac:dyDescent="0.2">
      <c r="A29" s="493"/>
      <c r="B29" s="494"/>
      <c r="C29" s="463"/>
      <c r="D29" s="464"/>
      <c r="E29" s="464"/>
      <c r="F29" s="464"/>
      <c r="G29" s="464"/>
      <c r="H29" s="465"/>
    </row>
    <row r="30" spans="1:8" ht="12.75" customHeight="1" x14ac:dyDescent="0.2">
      <c r="A30" s="277"/>
      <c r="B30" s="277"/>
      <c r="C30" s="278"/>
      <c r="D30" s="278"/>
      <c r="E30" s="278"/>
      <c r="F30" s="278"/>
      <c r="G30" s="278"/>
      <c r="H30" s="278"/>
    </row>
    <row r="31" spans="1:8" ht="12.75" customHeight="1" x14ac:dyDescent="0.2">
      <c r="A31" s="279"/>
      <c r="B31" s="279"/>
      <c r="C31" s="504" t="s">
        <v>409</v>
      </c>
      <c r="D31" s="505"/>
      <c r="E31" s="506" t="s">
        <v>410</v>
      </c>
      <c r="F31" s="507"/>
      <c r="G31" s="506" t="s">
        <v>411</v>
      </c>
      <c r="H31" s="507"/>
    </row>
    <row r="32" spans="1:8" ht="12.75" customHeight="1" x14ac:dyDescent="0.2">
      <c r="A32" s="508" t="s">
        <v>412</v>
      </c>
      <c r="B32" s="509"/>
      <c r="C32" s="898">
        <f>VLOOKUP($C$10,RCM!$J$9:$AG$29,22,0)</f>
        <v>1</v>
      </c>
      <c r="D32" s="511"/>
      <c r="E32" s="899">
        <f>VLOOKUP($C$10,RCM!$J$9:$AG$29,23,0)</f>
        <v>0</v>
      </c>
      <c r="F32" s="899"/>
      <c r="G32" s="899">
        <f>VLOOKUP($C$10,RCM!$J$9:$AG$29,24,0)</f>
        <v>1</v>
      </c>
      <c r="H32" s="899"/>
    </row>
    <row r="33" spans="1:8" ht="12.75" customHeight="1" outlineLevel="1" x14ac:dyDescent="0.2">
      <c r="A33" s="523" t="s">
        <v>413</v>
      </c>
      <c r="B33" s="524"/>
      <c r="C33" s="900" t="s">
        <v>659</v>
      </c>
      <c r="D33" s="901"/>
      <c r="E33" s="302"/>
      <c r="F33" s="303"/>
      <c r="G33" s="302"/>
      <c r="H33" s="303"/>
    </row>
    <row r="34" spans="1:8" ht="12.75" customHeight="1" outlineLevel="1" x14ac:dyDescent="0.2">
      <c r="A34" s="525"/>
      <c r="B34" s="526"/>
      <c r="C34" s="901"/>
      <c r="D34" s="901"/>
      <c r="E34" s="304"/>
      <c r="F34" s="305"/>
      <c r="G34" s="304"/>
      <c r="H34" s="305"/>
    </row>
    <row r="35" spans="1:8" ht="12.75" customHeight="1" outlineLevel="1" x14ac:dyDescent="0.2">
      <c r="A35" s="525"/>
      <c r="B35" s="526"/>
      <c r="C35" s="901"/>
      <c r="D35" s="901"/>
      <c r="E35" s="304"/>
      <c r="F35" s="305"/>
      <c r="G35" s="304"/>
      <c r="H35" s="305"/>
    </row>
    <row r="36" spans="1:8" ht="12.75" customHeight="1" outlineLevel="1" x14ac:dyDescent="0.2">
      <c r="A36" s="525"/>
      <c r="B36" s="526"/>
      <c r="C36" s="901"/>
      <c r="D36" s="901"/>
      <c r="E36" s="304"/>
      <c r="F36" s="305"/>
      <c r="G36" s="304"/>
      <c r="H36" s="305"/>
    </row>
    <row r="37" spans="1:8" ht="12.75" customHeight="1" outlineLevel="1" x14ac:dyDescent="0.2">
      <c r="A37" s="525"/>
      <c r="B37" s="526"/>
      <c r="C37" s="901"/>
      <c r="D37" s="901"/>
      <c r="E37" s="304"/>
      <c r="F37" s="305"/>
      <c r="G37" s="304"/>
      <c r="H37" s="305"/>
    </row>
    <row r="38" spans="1:8" ht="12.75" customHeight="1" outlineLevel="1" x14ac:dyDescent="0.2">
      <c r="A38" s="525"/>
      <c r="B38" s="526"/>
      <c r="C38" s="901"/>
      <c r="D38" s="901"/>
      <c r="E38" s="304"/>
      <c r="F38" s="305"/>
      <c r="G38" s="304"/>
      <c r="H38" s="305"/>
    </row>
    <row r="39" spans="1:8" ht="12.75" customHeight="1" outlineLevel="1" x14ac:dyDescent="0.2">
      <c r="A39" s="525"/>
      <c r="B39" s="526"/>
      <c r="C39" s="901"/>
      <c r="D39" s="901"/>
      <c r="E39" s="304"/>
      <c r="F39" s="305"/>
      <c r="G39" s="304"/>
      <c r="H39" s="305"/>
    </row>
    <row r="40" spans="1:8" ht="12.75" customHeight="1" outlineLevel="1" x14ac:dyDescent="0.2">
      <c r="A40" s="525"/>
      <c r="B40" s="526"/>
      <c r="C40" s="901"/>
      <c r="D40" s="901"/>
      <c r="E40" s="304"/>
      <c r="F40" s="305"/>
      <c r="G40" s="304"/>
      <c r="H40" s="305"/>
    </row>
    <row r="41" spans="1:8" ht="12.75" customHeight="1" outlineLevel="1" x14ac:dyDescent="0.2">
      <c r="A41" s="527"/>
      <c r="B41" s="528"/>
      <c r="C41" s="901"/>
      <c r="D41" s="901"/>
      <c r="E41" s="306"/>
      <c r="F41" s="307"/>
      <c r="G41" s="306"/>
      <c r="H41" s="307"/>
    </row>
    <row r="42" spans="1:8" ht="12.75" customHeight="1" x14ac:dyDescent="0.2">
      <c r="A42" s="512" t="s">
        <v>415</v>
      </c>
      <c r="B42" s="513"/>
      <c r="C42" s="540" t="s">
        <v>416</v>
      </c>
      <c r="D42" s="511"/>
      <c r="E42" s="540"/>
      <c r="F42" s="541"/>
      <c r="G42" s="540"/>
      <c r="H42" s="541"/>
    </row>
    <row r="43" spans="1:8" ht="12.75" customHeight="1" x14ac:dyDescent="0.2">
      <c r="A43" s="512" t="s">
        <v>417</v>
      </c>
      <c r="B43" s="513"/>
      <c r="C43" s="514">
        <v>43642</v>
      </c>
      <c r="D43" s="511"/>
      <c r="E43" s="540"/>
      <c r="F43" s="541"/>
      <c r="G43" s="540"/>
      <c r="H43" s="541"/>
    </row>
    <row r="44" spans="1:8" ht="12.75" customHeight="1" x14ac:dyDescent="0.2">
      <c r="A44" s="508" t="s">
        <v>418</v>
      </c>
      <c r="B44" s="508"/>
      <c r="C44" s="515" t="str">
        <f>VLOOKUP(C$10,'WT (WT)'!$A$8:$K$24,11,0)</f>
        <v>Effective</v>
      </c>
      <c r="D44" s="516"/>
      <c r="E44" s="515"/>
      <c r="F44" s="516"/>
      <c r="G44" s="519"/>
      <c r="H44" s="520"/>
    </row>
    <row r="45" spans="1:8" ht="12.75" customHeight="1" x14ac:dyDescent="0.2">
      <c r="A45" s="508"/>
      <c r="B45" s="508"/>
      <c r="C45" s="517"/>
      <c r="D45" s="518"/>
      <c r="E45" s="517"/>
      <c r="F45" s="518"/>
      <c r="G45" s="521"/>
      <c r="H45" s="522"/>
    </row>
    <row r="46" spans="1:8" ht="12.75" customHeight="1" x14ac:dyDescent="0.2">
      <c r="A46" s="508" t="s">
        <v>419</v>
      </c>
      <c r="B46" s="508"/>
      <c r="C46" s="519" t="s">
        <v>330</v>
      </c>
      <c r="D46" s="520"/>
      <c r="E46" s="519"/>
      <c r="F46" s="520"/>
      <c r="G46" s="519"/>
      <c r="H46" s="520"/>
    </row>
    <row r="47" spans="1:8" ht="12.75" customHeight="1" x14ac:dyDescent="0.2">
      <c r="A47" s="508"/>
      <c r="B47" s="508"/>
      <c r="C47" s="542"/>
      <c r="D47" s="543"/>
      <c r="E47" s="542"/>
      <c r="F47" s="543"/>
      <c r="G47" s="542"/>
      <c r="H47" s="543"/>
    </row>
    <row r="48" spans="1:8" ht="12.75" customHeight="1" x14ac:dyDescent="0.2">
      <c r="A48" s="508"/>
      <c r="B48" s="508"/>
      <c r="C48" s="521"/>
      <c r="D48" s="522"/>
      <c r="E48" s="521"/>
      <c r="F48" s="522"/>
      <c r="G48" s="521"/>
      <c r="H48" s="522"/>
    </row>
    <row r="49" spans="1:8" ht="12.75" customHeight="1" x14ac:dyDescent="0.2">
      <c r="A49" s="280"/>
      <c r="B49" s="280"/>
      <c r="C49" s="271"/>
      <c r="D49" s="271"/>
      <c r="E49" s="271"/>
      <c r="F49" s="271"/>
      <c r="G49" s="281"/>
      <c r="H49" s="271"/>
    </row>
    <row r="50" spans="1:8" ht="12.75" customHeight="1" x14ac:dyDescent="0.2">
      <c r="A50" s="544" t="s">
        <v>420</v>
      </c>
      <c r="B50" s="544" t="s">
        <v>535</v>
      </c>
      <c r="C50" s="544" t="s">
        <v>660</v>
      </c>
      <c r="D50" s="544" t="s">
        <v>661</v>
      </c>
      <c r="E50" s="544" t="s">
        <v>662</v>
      </c>
      <c r="F50" s="544" t="s">
        <v>423</v>
      </c>
      <c r="G50" s="544" t="s">
        <v>424</v>
      </c>
      <c r="H50" s="544" t="s">
        <v>427</v>
      </c>
    </row>
    <row r="51" spans="1:8" ht="12.75" customHeight="1" x14ac:dyDescent="0.2">
      <c r="A51" s="544"/>
      <c r="B51" s="544"/>
      <c r="C51" s="544"/>
      <c r="D51" s="544"/>
      <c r="E51" s="544"/>
      <c r="F51" s="544"/>
      <c r="G51" s="544"/>
      <c r="H51" s="544"/>
    </row>
    <row r="52" spans="1:8" ht="12.75" customHeight="1" x14ac:dyDescent="0.2">
      <c r="A52" s="544"/>
      <c r="B52" s="544"/>
      <c r="C52" s="544"/>
      <c r="D52" s="544"/>
      <c r="E52" s="544"/>
      <c r="F52" s="544"/>
      <c r="G52" s="544"/>
      <c r="H52" s="544"/>
    </row>
    <row r="53" spans="1:8" ht="12.75" customHeight="1" x14ac:dyDescent="0.2">
      <c r="A53" s="545" t="s">
        <v>428</v>
      </c>
      <c r="B53" s="546"/>
      <c r="C53" s="547"/>
      <c r="D53" s="547"/>
      <c r="E53" s="547"/>
      <c r="F53" s="547"/>
      <c r="G53" s="547"/>
      <c r="H53" s="548"/>
    </row>
    <row r="54" spans="1:8" s="308" customFormat="1" ht="12.75" customHeight="1" outlineLevel="1" x14ac:dyDescent="0.25">
      <c r="A54" s="552">
        <v>1</v>
      </c>
      <c r="B54" s="552" t="s">
        <v>663</v>
      </c>
      <c r="C54" s="550" t="s">
        <v>279</v>
      </c>
      <c r="D54" s="550" t="s">
        <v>279</v>
      </c>
      <c r="E54" s="550" t="s">
        <v>590</v>
      </c>
      <c r="F54" s="656" t="s">
        <v>664</v>
      </c>
      <c r="G54" s="551">
        <v>43573</v>
      </c>
      <c r="H54" s="553" t="s">
        <v>432</v>
      </c>
    </row>
    <row r="55" spans="1:8" s="308" customFormat="1" ht="12.75" customHeight="1" outlineLevel="1" x14ac:dyDescent="0.25">
      <c r="A55" s="552"/>
      <c r="B55" s="552"/>
      <c r="C55" s="550"/>
      <c r="D55" s="550"/>
      <c r="E55" s="550"/>
      <c r="F55" s="657"/>
      <c r="G55" s="550"/>
      <c r="H55" s="553"/>
    </row>
    <row r="56" spans="1:8" s="308" customFormat="1" ht="12.75" customHeight="1" outlineLevel="1" x14ac:dyDescent="0.25">
      <c r="A56" s="552"/>
      <c r="B56" s="552"/>
      <c r="C56" s="550"/>
      <c r="D56" s="550"/>
      <c r="E56" s="550"/>
      <c r="F56" s="657"/>
      <c r="G56" s="552"/>
      <c r="H56" s="553"/>
    </row>
    <row r="57" spans="1:8" s="308" customFormat="1" ht="12.75" customHeight="1" outlineLevel="1" x14ac:dyDescent="0.25">
      <c r="A57" s="552"/>
      <c r="B57" s="552"/>
      <c r="C57" s="550"/>
      <c r="D57" s="550"/>
      <c r="E57" s="550"/>
      <c r="F57" s="687"/>
      <c r="G57" s="552"/>
      <c r="H57" s="553"/>
    </row>
    <row r="58" spans="1:8" ht="12.75" customHeight="1" x14ac:dyDescent="0.2">
      <c r="A58" s="545" t="s">
        <v>436</v>
      </c>
      <c r="B58" s="546"/>
      <c r="C58" s="547"/>
      <c r="D58" s="547"/>
      <c r="E58" s="547"/>
      <c r="F58" s="547"/>
      <c r="G58" s="547"/>
      <c r="H58" s="548"/>
    </row>
    <row r="59" spans="1:8" ht="12.75" customHeight="1" outlineLevel="1" x14ac:dyDescent="0.2">
      <c r="A59" s="549"/>
      <c r="B59" s="552"/>
      <c r="C59" s="550"/>
      <c r="D59" s="550"/>
      <c r="E59" s="550"/>
      <c r="F59" s="656"/>
      <c r="G59" s="550"/>
      <c r="H59" s="754"/>
    </row>
    <row r="60" spans="1:8" ht="12.75" customHeight="1" outlineLevel="1" x14ac:dyDescent="0.2">
      <c r="A60" s="549"/>
      <c r="B60" s="552"/>
      <c r="C60" s="550"/>
      <c r="D60" s="550"/>
      <c r="E60" s="550"/>
      <c r="F60" s="657"/>
      <c r="G60" s="550"/>
      <c r="H60" s="754"/>
    </row>
    <row r="61" spans="1:8" ht="12.75" customHeight="1" outlineLevel="1" x14ac:dyDescent="0.2">
      <c r="A61" s="549"/>
      <c r="B61" s="552"/>
      <c r="C61" s="550"/>
      <c r="D61" s="550"/>
      <c r="E61" s="550"/>
      <c r="F61" s="657"/>
      <c r="G61" s="552"/>
      <c r="H61" s="754"/>
    </row>
    <row r="62" spans="1:8" ht="12.75" customHeight="1" outlineLevel="1" x14ac:dyDescent="0.2">
      <c r="A62" s="549"/>
      <c r="B62" s="552"/>
      <c r="C62" s="550"/>
      <c r="D62" s="550"/>
      <c r="E62" s="550"/>
      <c r="F62" s="687"/>
      <c r="G62" s="552"/>
      <c r="H62" s="754"/>
    </row>
    <row r="63" spans="1:8" ht="12.75" customHeight="1" x14ac:dyDescent="0.2">
      <c r="A63" s="560" t="s">
        <v>437</v>
      </c>
      <c r="B63" s="547"/>
      <c r="C63" s="547"/>
      <c r="D63" s="547"/>
      <c r="E63" s="547"/>
      <c r="F63" s="547"/>
      <c r="G63" s="547"/>
      <c r="H63" s="548"/>
    </row>
    <row r="64" spans="1:8" ht="12.75" customHeight="1" outlineLevel="2" x14ac:dyDescent="0.2">
      <c r="A64" s="549"/>
      <c r="B64" s="552"/>
      <c r="C64" s="550"/>
      <c r="D64" s="550"/>
      <c r="E64" s="550"/>
      <c r="F64" s="656"/>
      <c r="G64" s="550"/>
      <c r="H64" s="754"/>
    </row>
    <row r="65" spans="1:8" ht="12.75" customHeight="1" outlineLevel="2" x14ac:dyDescent="0.2">
      <c r="A65" s="549"/>
      <c r="B65" s="552"/>
      <c r="C65" s="550"/>
      <c r="D65" s="550"/>
      <c r="E65" s="550"/>
      <c r="F65" s="657"/>
      <c r="G65" s="550"/>
      <c r="H65" s="754"/>
    </row>
    <row r="66" spans="1:8" ht="12.75" customHeight="1" outlineLevel="2" x14ac:dyDescent="0.2">
      <c r="A66" s="549"/>
      <c r="B66" s="552"/>
      <c r="C66" s="550"/>
      <c r="D66" s="550"/>
      <c r="E66" s="550"/>
      <c r="F66" s="657"/>
      <c r="G66" s="552"/>
      <c r="H66" s="754"/>
    </row>
    <row r="67" spans="1:8" ht="12.75" customHeight="1" outlineLevel="2" x14ac:dyDescent="0.2">
      <c r="A67" s="549"/>
      <c r="B67" s="552"/>
      <c r="C67" s="550"/>
      <c r="D67" s="550"/>
      <c r="E67" s="550"/>
      <c r="F67" s="687"/>
      <c r="G67" s="552"/>
      <c r="H67" s="754"/>
    </row>
    <row r="68" spans="1:8" ht="12.75" customHeight="1" x14ac:dyDescent="0.2">
      <c r="A68" s="270"/>
      <c r="B68" s="270"/>
      <c r="C68" s="555"/>
      <c r="D68" s="555"/>
      <c r="E68" s="270"/>
      <c r="F68" s="270"/>
      <c r="G68" s="270"/>
    </row>
    <row r="69" spans="1:8" ht="12.75" customHeight="1" x14ac:dyDescent="0.2">
      <c r="A69" s="282"/>
      <c r="B69" s="282"/>
      <c r="C69" s="506" t="s">
        <v>409</v>
      </c>
      <c r="D69" s="507"/>
      <c r="E69" s="504" t="s">
        <v>410</v>
      </c>
      <c r="F69" s="504"/>
      <c r="G69" s="505" t="s">
        <v>437</v>
      </c>
      <c r="H69" s="505"/>
    </row>
    <row r="70" spans="1:8" ht="12.75" customHeight="1" x14ac:dyDescent="0.2">
      <c r="A70" s="512" t="s">
        <v>438</v>
      </c>
      <c r="B70" s="556"/>
      <c r="C70" s="557" t="s">
        <v>439</v>
      </c>
      <c r="D70" s="558"/>
      <c r="E70" s="690"/>
      <c r="F70" s="691"/>
      <c r="G70" s="557"/>
      <c r="H70" s="558"/>
    </row>
    <row r="71" spans="1:8" ht="12.75" customHeight="1" x14ac:dyDescent="0.2">
      <c r="A71" s="512" t="s">
        <v>440</v>
      </c>
      <c r="B71" s="556"/>
      <c r="C71" s="514">
        <v>43643</v>
      </c>
      <c r="D71" s="581"/>
      <c r="E71" s="557"/>
      <c r="F71" s="558"/>
      <c r="G71" s="557"/>
      <c r="H71" s="558"/>
    </row>
    <row r="72" spans="1:8" ht="12.75" customHeight="1" x14ac:dyDescent="0.2">
      <c r="A72" s="512" t="s">
        <v>441</v>
      </c>
      <c r="B72" s="556"/>
      <c r="C72" s="582" t="s">
        <v>330</v>
      </c>
      <c r="D72" s="583"/>
      <c r="E72" s="557" t="s">
        <v>392</v>
      </c>
      <c r="F72" s="558"/>
      <c r="G72" s="557" t="s">
        <v>392</v>
      </c>
      <c r="H72" s="558"/>
    </row>
    <row r="73" spans="1:8" ht="12.75" customHeight="1" x14ac:dyDescent="0.2">
      <c r="A73" s="270"/>
      <c r="B73" s="270"/>
      <c r="C73" s="270"/>
      <c r="D73" s="270"/>
      <c r="E73" s="270"/>
      <c r="F73" s="270"/>
      <c r="G73" s="270"/>
      <c r="H73" s="270"/>
    </row>
    <row r="74" spans="1:8" ht="12.75" customHeight="1" x14ac:dyDescent="0.2">
      <c r="A74" s="561" t="s">
        <v>442</v>
      </c>
      <c r="B74" s="562"/>
      <c r="C74" s="270"/>
      <c r="D74" s="270"/>
      <c r="E74" s="270"/>
      <c r="F74" s="270"/>
      <c r="G74" s="270"/>
    </row>
    <row r="75" spans="1:8" ht="12.75" customHeight="1" x14ac:dyDescent="0.2">
      <c r="A75" s="701" t="s">
        <v>279</v>
      </c>
      <c r="B75" s="702"/>
      <c r="C75" s="567" t="s">
        <v>443</v>
      </c>
      <c r="D75" s="568"/>
      <c r="E75" s="568"/>
      <c r="F75" s="568"/>
      <c r="G75" s="568"/>
      <c r="H75" s="569"/>
    </row>
    <row r="76" spans="1:8" ht="12.75" customHeight="1" x14ac:dyDescent="0.2">
      <c r="A76" s="703"/>
      <c r="B76" s="704"/>
      <c r="C76" s="570"/>
      <c r="D76" s="571"/>
      <c r="E76" s="571"/>
      <c r="F76" s="571"/>
      <c r="G76" s="571"/>
      <c r="H76" s="572"/>
    </row>
    <row r="77" spans="1:8" ht="12.75" customHeight="1" x14ac:dyDescent="0.2">
      <c r="A77" s="573" t="s">
        <v>432</v>
      </c>
      <c r="B77" s="574"/>
      <c r="C77" s="567" t="s">
        <v>444</v>
      </c>
      <c r="D77" s="568"/>
      <c r="E77" s="568"/>
      <c r="F77" s="568"/>
      <c r="G77" s="568"/>
      <c r="H77" s="569"/>
    </row>
    <row r="78" spans="1:8" ht="12.75" customHeight="1" x14ac:dyDescent="0.2">
      <c r="A78" s="575"/>
      <c r="B78" s="576"/>
      <c r="C78" s="570"/>
      <c r="D78" s="571"/>
      <c r="E78" s="571"/>
      <c r="F78" s="571"/>
      <c r="G78" s="571"/>
      <c r="H78" s="572"/>
    </row>
    <row r="80" spans="1:8" ht="12.75" customHeight="1" x14ac:dyDescent="0.2">
      <c r="A80" s="843" t="s">
        <v>370</v>
      </c>
      <c r="B80" s="843"/>
      <c r="C80" s="843"/>
      <c r="D80" s="843"/>
      <c r="E80" s="843"/>
      <c r="F80" s="843"/>
      <c r="G80" s="843"/>
      <c r="H80" s="843"/>
    </row>
    <row r="81" spans="1:8" ht="12.75" customHeight="1" x14ac:dyDescent="0.2">
      <c r="A81" s="283" t="s">
        <v>449</v>
      </c>
      <c r="B81" s="283" t="s">
        <v>450</v>
      </c>
      <c r="C81" s="283" t="s">
        <v>451</v>
      </c>
      <c r="D81" s="843" t="s">
        <v>452</v>
      </c>
      <c r="E81" s="843"/>
      <c r="F81" s="843"/>
      <c r="G81" s="843"/>
      <c r="H81" s="843"/>
    </row>
    <row r="82" spans="1:8" ht="12.75" customHeight="1" x14ac:dyDescent="0.2">
      <c r="A82" s="908" t="s">
        <v>83</v>
      </c>
      <c r="B82" s="908" t="s">
        <v>454</v>
      </c>
      <c r="C82" s="913" t="s">
        <v>715</v>
      </c>
      <c r="D82" s="894" t="s">
        <v>456</v>
      </c>
      <c r="E82" s="895" t="s">
        <v>457</v>
      </c>
      <c r="F82" s="895"/>
      <c r="G82" s="765"/>
      <c r="H82" s="767"/>
    </row>
    <row r="83" spans="1:8" ht="12.75" customHeight="1" x14ac:dyDescent="0.2">
      <c r="A83" s="908"/>
      <c r="B83" s="908"/>
      <c r="C83" s="913"/>
      <c r="D83" s="894"/>
      <c r="E83" s="895"/>
      <c r="F83" s="895"/>
      <c r="G83" s="768"/>
      <c r="H83" s="770"/>
    </row>
    <row r="84" spans="1:8" ht="12.75" customHeight="1" x14ac:dyDescent="0.2">
      <c r="A84" s="908"/>
      <c r="B84" s="908"/>
      <c r="C84" s="913"/>
      <c r="D84" s="894"/>
      <c r="E84" s="895"/>
      <c r="F84" s="895"/>
      <c r="G84" s="768"/>
      <c r="H84" s="770"/>
    </row>
    <row r="85" spans="1:8" ht="12.75" customHeight="1" x14ac:dyDescent="0.2">
      <c r="A85" s="908"/>
      <c r="B85" s="908"/>
      <c r="C85" s="913"/>
      <c r="D85" s="894"/>
      <c r="E85" s="895"/>
      <c r="F85" s="895"/>
      <c r="G85" s="768"/>
      <c r="H85" s="770"/>
    </row>
    <row r="86" spans="1:8" ht="12.75" customHeight="1" x14ac:dyDescent="0.2">
      <c r="A86" s="908"/>
      <c r="B86" s="908"/>
      <c r="C86" s="913"/>
      <c r="D86" s="894"/>
      <c r="E86" s="895"/>
      <c r="F86" s="895"/>
      <c r="G86" s="771"/>
      <c r="H86" s="773"/>
    </row>
    <row r="87" spans="1:8" ht="12.75" customHeight="1" x14ac:dyDescent="0.2">
      <c r="A87" s="908"/>
      <c r="B87" s="908"/>
      <c r="C87" s="913"/>
      <c r="D87" s="894" t="s">
        <v>458</v>
      </c>
      <c r="E87" s="895" t="s">
        <v>459</v>
      </c>
      <c r="F87" s="895"/>
      <c r="G87" s="765"/>
      <c r="H87" s="767"/>
    </row>
    <row r="88" spans="1:8" ht="12.75" customHeight="1" x14ac:dyDescent="0.2">
      <c r="A88" s="908"/>
      <c r="B88" s="908"/>
      <c r="C88" s="913"/>
      <c r="D88" s="894"/>
      <c r="E88" s="895"/>
      <c r="F88" s="895"/>
      <c r="G88" s="768"/>
      <c r="H88" s="770"/>
    </row>
    <row r="89" spans="1:8" ht="12.75" customHeight="1" x14ac:dyDescent="0.2">
      <c r="A89" s="908"/>
      <c r="B89" s="908"/>
      <c r="C89" s="913"/>
      <c r="D89" s="894"/>
      <c r="E89" s="895"/>
      <c r="F89" s="895"/>
      <c r="G89" s="768"/>
      <c r="H89" s="770"/>
    </row>
    <row r="90" spans="1:8" ht="12.75" customHeight="1" x14ac:dyDescent="0.2">
      <c r="A90" s="908"/>
      <c r="B90" s="908"/>
      <c r="C90" s="913"/>
      <c r="D90" s="894"/>
      <c r="E90" s="895"/>
      <c r="F90" s="895"/>
      <c r="G90" s="768"/>
      <c r="H90" s="770"/>
    </row>
    <row r="91" spans="1:8" ht="12.75" customHeight="1" x14ac:dyDescent="0.2">
      <c r="A91" s="908"/>
      <c r="B91" s="908"/>
      <c r="C91" s="913"/>
      <c r="D91" s="894"/>
      <c r="E91" s="895"/>
      <c r="F91" s="895"/>
      <c r="G91" s="771"/>
      <c r="H91" s="773"/>
    </row>
    <row r="92" spans="1:8" ht="12.75" customHeight="1" x14ac:dyDescent="0.2">
      <c r="A92" s="908"/>
      <c r="B92" s="908"/>
      <c r="C92" s="913"/>
      <c r="D92" s="894" t="s">
        <v>460</v>
      </c>
      <c r="E92" s="895" t="s">
        <v>461</v>
      </c>
      <c r="F92" s="895"/>
      <c r="G92" s="765"/>
      <c r="H92" s="767"/>
    </row>
    <row r="93" spans="1:8" ht="12.75" customHeight="1" x14ac:dyDescent="0.2">
      <c r="A93" s="908"/>
      <c r="B93" s="908"/>
      <c r="C93" s="913"/>
      <c r="D93" s="894"/>
      <c r="E93" s="895"/>
      <c r="F93" s="895"/>
      <c r="G93" s="768"/>
      <c r="H93" s="770"/>
    </row>
    <row r="94" spans="1:8" ht="12.75" customHeight="1" x14ac:dyDescent="0.2">
      <c r="A94" s="908"/>
      <c r="B94" s="908"/>
      <c r="C94" s="913"/>
      <c r="D94" s="894"/>
      <c r="E94" s="895"/>
      <c r="F94" s="895"/>
      <c r="G94" s="768"/>
      <c r="H94" s="770"/>
    </row>
    <row r="95" spans="1:8" ht="12.75" customHeight="1" x14ac:dyDescent="0.2">
      <c r="A95" s="908"/>
      <c r="B95" s="908"/>
      <c r="C95" s="913"/>
      <c r="D95" s="894"/>
      <c r="E95" s="895"/>
      <c r="F95" s="895"/>
      <c r="G95" s="768"/>
      <c r="H95" s="770"/>
    </row>
    <row r="96" spans="1:8" ht="12.75" customHeight="1" x14ac:dyDescent="0.2">
      <c r="A96" s="908"/>
      <c r="B96" s="908"/>
      <c r="C96" s="913"/>
      <c r="D96" s="894"/>
      <c r="E96" s="895"/>
      <c r="F96" s="895"/>
      <c r="G96" s="771"/>
      <c r="H96" s="773"/>
    </row>
    <row r="97" spans="1:8" ht="12.75" customHeight="1" x14ac:dyDescent="0.2">
      <c r="A97" s="908"/>
      <c r="B97" s="908"/>
      <c r="C97" s="913"/>
      <c r="D97" s="894"/>
      <c r="E97" s="895" t="s">
        <v>462</v>
      </c>
      <c r="F97" s="895"/>
      <c r="G97" s="912"/>
      <c r="H97" s="912"/>
    </row>
    <row r="98" spans="1:8" ht="12.75" customHeight="1" x14ac:dyDescent="0.2">
      <c r="A98" s="908"/>
      <c r="B98" s="908"/>
      <c r="C98" s="913"/>
      <c r="D98" s="894"/>
      <c r="E98" s="895"/>
      <c r="F98" s="895"/>
      <c r="G98" s="912"/>
      <c r="H98" s="912"/>
    </row>
    <row r="99" spans="1:8" ht="12.75" customHeight="1" x14ac:dyDescent="0.2">
      <c r="A99" s="908"/>
      <c r="B99" s="908"/>
      <c r="C99" s="913"/>
      <c r="D99" s="894"/>
      <c r="E99" s="895" t="s">
        <v>463</v>
      </c>
      <c r="F99" s="895"/>
      <c r="G99" s="765"/>
      <c r="H99" s="767"/>
    </row>
    <row r="100" spans="1:8" ht="12.75" customHeight="1" x14ac:dyDescent="0.2">
      <c r="A100" s="908"/>
      <c r="B100" s="908"/>
      <c r="C100" s="913"/>
      <c r="D100" s="894"/>
      <c r="E100" s="895"/>
      <c r="F100" s="895"/>
      <c r="G100" s="768"/>
      <c r="H100" s="770"/>
    </row>
    <row r="101" spans="1:8" ht="12.75" customHeight="1" x14ac:dyDescent="0.2">
      <c r="A101" s="908"/>
      <c r="B101" s="908"/>
      <c r="C101" s="913"/>
      <c r="D101" s="894"/>
      <c r="E101" s="895"/>
      <c r="F101" s="895"/>
      <c r="G101" s="768"/>
      <c r="H101" s="770"/>
    </row>
    <row r="102" spans="1:8" ht="12.75" customHeight="1" x14ac:dyDescent="0.2">
      <c r="A102" s="908"/>
      <c r="B102" s="908"/>
      <c r="C102" s="913"/>
      <c r="D102" s="894"/>
      <c r="E102" s="895"/>
      <c r="F102" s="895"/>
      <c r="G102" s="768"/>
      <c r="H102" s="770"/>
    </row>
    <row r="103" spans="1:8" ht="12.75" customHeight="1" x14ac:dyDescent="0.2">
      <c r="A103" s="908"/>
      <c r="B103" s="908"/>
      <c r="C103" s="913"/>
      <c r="D103" s="894"/>
      <c r="E103" s="895"/>
      <c r="F103" s="895"/>
      <c r="G103" s="771"/>
      <c r="H103" s="773"/>
    </row>
    <row r="104" spans="1:8" ht="12.75" customHeight="1" x14ac:dyDescent="0.2">
      <c r="A104" s="908"/>
      <c r="B104" s="908"/>
      <c r="C104" s="913"/>
      <c r="D104" s="894"/>
      <c r="E104" s="895" t="s">
        <v>464</v>
      </c>
      <c r="F104" s="895"/>
      <c r="G104" s="912"/>
      <c r="H104" s="912"/>
    </row>
    <row r="105" spans="1:8" ht="12.75" customHeight="1" x14ac:dyDescent="0.2">
      <c r="A105" s="908"/>
      <c r="B105" s="908"/>
      <c r="C105" s="913"/>
      <c r="D105" s="894"/>
      <c r="E105" s="895"/>
      <c r="F105" s="895"/>
      <c r="G105" s="912"/>
      <c r="H105" s="912"/>
    </row>
    <row r="106" spans="1:8" ht="12.75" customHeight="1" x14ac:dyDescent="0.2">
      <c r="A106" s="908"/>
      <c r="B106" s="908"/>
      <c r="C106" s="913"/>
      <c r="D106" s="894" t="s">
        <v>465</v>
      </c>
      <c r="E106" s="895" t="s">
        <v>466</v>
      </c>
      <c r="F106" s="895"/>
      <c r="G106" s="801" t="s">
        <v>708</v>
      </c>
      <c r="H106" s="801"/>
    </row>
    <row r="107" spans="1:8" ht="12.75" customHeight="1" x14ac:dyDescent="0.2">
      <c r="A107" s="908"/>
      <c r="B107" s="908"/>
      <c r="C107" s="913"/>
      <c r="D107" s="894"/>
      <c r="E107" s="895"/>
      <c r="F107" s="895"/>
      <c r="G107" s="801"/>
      <c r="H107" s="801"/>
    </row>
    <row r="108" spans="1:8" ht="12.75" customHeight="1" x14ac:dyDescent="0.2">
      <c r="A108" s="908"/>
      <c r="B108" s="908"/>
      <c r="C108" s="913"/>
      <c r="D108" s="894"/>
      <c r="E108" s="895"/>
      <c r="F108" s="895"/>
      <c r="G108" s="801"/>
      <c r="H108" s="801"/>
    </row>
    <row r="109" spans="1:8" ht="12.75" customHeight="1" x14ac:dyDescent="0.2">
      <c r="A109" s="908"/>
      <c r="B109" s="908"/>
      <c r="C109" s="913"/>
      <c r="D109" s="894"/>
      <c r="E109" s="895"/>
      <c r="F109" s="895"/>
      <c r="G109" s="801"/>
      <c r="H109" s="801"/>
    </row>
    <row r="110" spans="1:8" ht="12.75" customHeight="1" x14ac:dyDescent="0.2">
      <c r="A110" s="908"/>
      <c r="B110" s="908"/>
      <c r="C110" s="913"/>
      <c r="D110" s="894"/>
      <c r="E110" s="895"/>
      <c r="F110" s="895"/>
      <c r="G110" s="801"/>
      <c r="H110" s="801"/>
    </row>
    <row r="111" spans="1:8" ht="12.75" customHeight="1" x14ac:dyDescent="0.2">
      <c r="A111" s="908"/>
      <c r="B111" s="908"/>
      <c r="C111" s="913"/>
      <c r="D111" s="894"/>
      <c r="E111" s="895" t="s">
        <v>467</v>
      </c>
      <c r="F111" s="895"/>
      <c r="G111" s="912"/>
      <c r="H111" s="912"/>
    </row>
    <row r="112" spans="1:8" ht="12.75" customHeight="1" x14ac:dyDescent="0.2">
      <c r="A112" s="908"/>
      <c r="B112" s="908"/>
      <c r="C112" s="913"/>
      <c r="D112" s="894"/>
      <c r="E112" s="895"/>
      <c r="F112" s="895"/>
      <c r="G112" s="912"/>
      <c r="H112" s="912"/>
    </row>
    <row r="113" spans="1:8" ht="12.75" customHeight="1" x14ac:dyDescent="0.2">
      <c r="A113" s="908" t="s">
        <v>87</v>
      </c>
      <c r="B113" s="908" t="s">
        <v>454</v>
      </c>
      <c r="C113" s="915" t="s">
        <v>714</v>
      </c>
      <c r="D113" s="894" t="s">
        <v>456</v>
      </c>
      <c r="E113" s="895" t="s">
        <v>457</v>
      </c>
      <c r="F113" s="895"/>
      <c r="G113" s="765"/>
      <c r="H113" s="767"/>
    </row>
    <row r="114" spans="1:8" ht="12.75" customHeight="1" x14ac:dyDescent="0.2">
      <c r="A114" s="908"/>
      <c r="B114" s="908"/>
      <c r="C114" s="915"/>
      <c r="D114" s="894"/>
      <c r="E114" s="895"/>
      <c r="F114" s="895"/>
      <c r="G114" s="768"/>
      <c r="H114" s="770"/>
    </row>
    <row r="115" spans="1:8" ht="12.75" customHeight="1" x14ac:dyDescent="0.2">
      <c r="A115" s="908"/>
      <c r="B115" s="908"/>
      <c r="C115" s="915"/>
      <c r="D115" s="894"/>
      <c r="E115" s="895"/>
      <c r="F115" s="895"/>
      <c r="G115" s="768"/>
      <c r="H115" s="770"/>
    </row>
    <row r="116" spans="1:8" ht="12.75" customHeight="1" x14ac:dyDescent="0.2">
      <c r="A116" s="908"/>
      <c r="B116" s="908"/>
      <c r="C116" s="915"/>
      <c r="D116" s="894"/>
      <c r="E116" s="895"/>
      <c r="F116" s="895"/>
      <c r="G116" s="768"/>
      <c r="H116" s="770"/>
    </row>
    <row r="117" spans="1:8" ht="12.75" customHeight="1" x14ac:dyDescent="0.2">
      <c r="A117" s="908"/>
      <c r="B117" s="908"/>
      <c r="C117" s="915"/>
      <c r="D117" s="894"/>
      <c r="E117" s="895"/>
      <c r="F117" s="895"/>
      <c r="G117" s="771"/>
      <c r="H117" s="773"/>
    </row>
    <row r="118" spans="1:8" ht="12.75" customHeight="1" x14ac:dyDescent="0.2">
      <c r="A118" s="908"/>
      <c r="B118" s="908"/>
      <c r="C118" s="915"/>
      <c r="D118" s="894" t="s">
        <v>458</v>
      </c>
      <c r="E118" s="895" t="s">
        <v>459</v>
      </c>
      <c r="F118" s="895"/>
      <c r="G118" s="765"/>
      <c r="H118" s="767"/>
    </row>
    <row r="119" spans="1:8" ht="12.75" customHeight="1" x14ac:dyDescent="0.2">
      <c r="A119" s="908"/>
      <c r="B119" s="908"/>
      <c r="C119" s="915"/>
      <c r="D119" s="894"/>
      <c r="E119" s="895"/>
      <c r="F119" s="895"/>
      <c r="G119" s="768"/>
      <c r="H119" s="770"/>
    </row>
    <row r="120" spans="1:8" ht="12.75" customHeight="1" x14ac:dyDescent="0.2">
      <c r="A120" s="908"/>
      <c r="B120" s="908"/>
      <c r="C120" s="915"/>
      <c r="D120" s="894"/>
      <c r="E120" s="895"/>
      <c r="F120" s="895"/>
      <c r="G120" s="768"/>
      <c r="H120" s="770"/>
    </row>
    <row r="121" spans="1:8" ht="12.75" customHeight="1" x14ac:dyDescent="0.2">
      <c r="A121" s="908"/>
      <c r="B121" s="908"/>
      <c r="C121" s="915"/>
      <c r="D121" s="894"/>
      <c r="E121" s="895"/>
      <c r="F121" s="895"/>
      <c r="G121" s="768"/>
      <c r="H121" s="770"/>
    </row>
    <row r="122" spans="1:8" ht="12.75" customHeight="1" x14ac:dyDescent="0.2">
      <c r="A122" s="908"/>
      <c r="B122" s="908"/>
      <c r="C122" s="915"/>
      <c r="D122" s="894"/>
      <c r="E122" s="895"/>
      <c r="F122" s="895"/>
      <c r="G122" s="771"/>
      <c r="H122" s="773"/>
    </row>
    <row r="123" spans="1:8" ht="12.75" customHeight="1" x14ac:dyDescent="0.2">
      <c r="A123" s="908"/>
      <c r="B123" s="908"/>
      <c r="C123" s="915"/>
      <c r="D123" s="894" t="s">
        <v>460</v>
      </c>
      <c r="E123" s="895" t="s">
        <v>461</v>
      </c>
      <c r="F123" s="895"/>
      <c r="G123" s="765"/>
      <c r="H123" s="767"/>
    </row>
    <row r="124" spans="1:8" ht="12.75" customHeight="1" x14ac:dyDescent="0.2">
      <c r="A124" s="908"/>
      <c r="B124" s="908"/>
      <c r="C124" s="915"/>
      <c r="D124" s="894"/>
      <c r="E124" s="895"/>
      <c r="F124" s="895"/>
      <c r="G124" s="768"/>
      <c r="H124" s="770"/>
    </row>
    <row r="125" spans="1:8" ht="12.75" customHeight="1" x14ac:dyDescent="0.2">
      <c r="A125" s="908"/>
      <c r="B125" s="908"/>
      <c r="C125" s="915"/>
      <c r="D125" s="894"/>
      <c r="E125" s="895"/>
      <c r="F125" s="895"/>
      <c r="G125" s="768"/>
      <c r="H125" s="770"/>
    </row>
    <row r="126" spans="1:8" ht="12.75" customHeight="1" x14ac:dyDescent="0.2">
      <c r="A126" s="908"/>
      <c r="B126" s="908"/>
      <c r="C126" s="915"/>
      <c r="D126" s="894"/>
      <c r="E126" s="895"/>
      <c r="F126" s="895"/>
      <c r="G126" s="768"/>
      <c r="H126" s="770"/>
    </row>
    <row r="127" spans="1:8" ht="12.75" customHeight="1" x14ac:dyDescent="0.2">
      <c r="A127" s="908"/>
      <c r="B127" s="908"/>
      <c r="C127" s="915"/>
      <c r="D127" s="894"/>
      <c r="E127" s="895"/>
      <c r="F127" s="895"/>
      <c r="G127" s="771"/>
      <c r="H127" s="773"/>
    </row>
    <row r="128" spans="1:8" ht="12.75" customHeight="1" x14ac:dyDescent="0.2">
      <c r="A128" s="908"/>
      <c r="B128" s="908"/>
      <c r="C128" s="915"/>
      <c r="D128" s="894"/>
      <c r="E128" s="895" t="s">
        <v>462</v>
      </c>
      <c r="F128" s="895"/>
      <c r="G128" s="912"/>
      <c r="H128" s="912"/>
    </row>
    <row r="129" spans="1:8" ht="12.75" customHeight="1" x14ac:dyDescent="0.2">
      <c r="A129" s="908"/>
      <c r="B129" s="908"/>
      <c r="C129" s="915"/>
      <c r="D129" s="894"/>
      <c r="E129" s="895"/>
      <c r="F129" s="895"/>
      <c r="G129" s="912"/>
      <c r="H129" s="912"/>
    </row>
    <row r="130" spans="1:8" ht="12.75" customHeight="1" x14ac:dyDescent="0.2">
      <c r="A130" s="908"/>
      <c r="B130" s="908"/>
      <c r="C130" s="915"/>
      <c r="D130" s="894"/>
      <c r="E130" s="895" t="s">
        <v>463</v>
      </c>
      <c r="F130" s="895"/>
      <c r="G130" s="765"/>
      <c r="H130" s="767"/>
    </row>
    <row r="131" spans="1:8" ht="12.75" customHeight="1" x14ac:dyDescent="0.2">
      <c r="A131" s="908"/>
      <c r="B131" s="908"/>
      <c r="C131" s="915"/>
      <c r="D131" s="894"/>
      <c r="E131" s="895"/>
      <c r="F131" s="895"/>
      <c r="G131" s="768"/>
      <c r="H131" s="770"/>
    </row>
    <row r="132" spans="1:8" ht="12.75" customHeight="1" x14ac:dyDescent="0.2">
      <c r="A132" s="908"/>
      <c r="B132" s="908"/>
      <c r="C132" s="915"/>
      <c r="D132" s="894"/>
      <c r="E132" s="895"/>
      <c r="F132" s="895"/>
      <c r="G132" s="768"/>
      <c r="H132" s="770"/>
    </row>
    <row r="133" spans="1:8" ht="12.75" customHeight="1" x14ac:dyDescent="0.2">
      <c r="A133" s="908"/>
      <c r="B133" s="908"/>
      <c r="C133" s="915"/>
      <c r="D133" s="894"/>
      <c r="E133" s="895"/>
      <c r="F133" s="895"/>
      <c r="G133" s="768"/>
      <c r="H133" s="770"/>
    </row>
    <row r="134" spans="1:8" ht="12.75" customHeight="1" x14ac:dyDescent="0.2">
      <c r="A134" s="908"/>
      <c r="B134" s="908"/>
      <c r="C134" s="915"/>
      <c r="D134" s="894"/>
      <c r="E134" s="895"/>
      <c r="F134" s="895"/>
      <c r="G134" s="771"/>
      <c r="H134" s="773"/>
    </row>
    <row r="135" spans="1:8" ht="12.75" customHeight="1" x14ac:dyDescent="0.2">
      <c r="A135" s="908"/>
      <c r="B135" s="908"/>
      <c r="C135" s="915"/>
      <c r="D135" s="894"/>
      <c r="E135" s="895" t="s">
        <v>464</v>
      </c>
      <c r="F135" s="895"/>
      <c r="G135" s="912"/>
      <c r="H135" s="912"/>
    </row>
    <row r="136" spans="1:8" ht="12.75" customHeight="1" x14ac:dyDescent="0.2">
      <c r="A136" s="908"/>
      <c r="B136" s="908"/>
      <c r="C136" s="915"/>
      <c r="D136" s="894"/>
      <c r="E136" s="895"/>
      <c r="F136" s="895"/>
      <c r="G136" s="912"/>
      <c r="H136" s="912"/>
    </row>
    <row r="137" spans="1:8" ht="12.75" customHeight="1" x14ac:dyDescent="0.2">
      <c r="A137" s="908"/>
      <c r="B137" s="908"/>
      <c r="C137" s="915"/>
      <c r="D137" s="894" t="s">
        <v>465</v>
      </c>
      <c r="E137" s="895" t="s">
        <v>466</v>
      </c>
      <c r="F137" s="895"/>
      <c r="G137" s="801" t="s">
        <v>708</v>
      </c>
      <c r="H137" s="801"/>
    </row>
    <row r="138" spans="1:8" ht="12.75" customHeight="1" x14ac:dyDescent="0.2">
      <c r="A138" s="908"/>
      <c r="B138" s="908"/>
      <c r="C138" s="915"/>
      <c r="D138" s="894"/>
      <c r="E138" s="895"/>
      <c r="F138" s="895"/>
      <c r="G138" s="801"/>
      <c r="H138" s="801"/>
    </row>
    <row r="139" spans="1:8" ht="12.75" customHeight="1" x14ac:dyDescent="0.2">
      <c r="A139" s="908"/>
      <c r="B139" s="908"/>
      <c r="C139" s="915"/>
      <c r="D139" s="894"/>
      <c r="E139" s="895"/>
      <c r="F139" s="895"/>
      <c r="G139" s="801"/>
      <c r="H139" s="801"/>
    </row>
    <row r="140" spans="1:8" ht="12.75" customHeight="1" x14ac:dyDescent="0.2">
      <c r="A140" s="908"/>
      <c r="B140" s="908"/>
      <c r="C140" s="915"/>
      <c r="D140" s="894"/>
      <c r="E140" s="895"/>
      <c r="F140" s="895"/>
      <c r="G140" s="801"/>
      <c r="H140" s="801"/>
    </row>
    <row r="141" spans="1:8" ht="12.75" customHeight="1" x14ac:dyDescent="0.2">
      <c r="A141" s="908"/>
      <c r="B141" s="908"/>
      <c r="C141" s="915"/>
      <c r="D141" s="894"/>
      <c r="E141" s="895"/>
      <c r="F141" s="895"/>
      <c r="G141" s="801"/>
      <c r="H141" s="801"/>
    </row>
    <row r="142" spans="1:8" ht="12.75" customHeight="1" x14ac:dyDescent="0.2">
      <c r="A142" s="908"/>
      <c r="B142" s="908"/>
      <c r="C142" s="915"/>
      <c r="D142" s="894"/>
      <c r="E142" s="895" t="s">
        <v>467</v>
      </c>
      <c r="F142" s="895"/>
      <c r="G142" s="912"/>
      <c r="H142" s="912"/>
    </row>
    <row r="143" spans="1:8" ht="12.75" customHeight="1" x14ac:dyDescent="0.2">
      <c r="A143" s="908"/>
      <c r="B143" s="908"/>
      <c r="C143" s="915"/>
      <c r="D143" s="894"/>
      <c r="E143" s="895"/>
      <c r="F143" s="895"/>
      <c r="G143" s="912"/>
      <c r="H143" s="912"/>
    </row>
    <row r="144" spans="1:8" ht="12.75" customHeight="1" x14ac:dyDescent="0.2">
      <c r="A144" s="908" t="s">
        <v>711</v>
      </c>
      <c r="B144" s="908" t="s">
        <v>468</v>
      </c>
      <c r="C144" s="908" t="s">
        <v>179</v>
      </c>
      <c r="D144" s="916" t="s">
        <v>456</v>
      </c>
      <c r="E144" s="897" t="s">
        <v>469</v>
      </c>
      <c r="F144" s="897"/>
      <c r="G144" s="845"/>
      <c r="H144" s="845"/>
    </row>
    <row r="145" spans="1:8" ht="12.75" customHeight="1" x14ac:dyDescent="0.2">
      <c r="A145" s="908"/>
      <c r="B145" s="908"/>
      <c r="C145" s="908"/>
      <c r="D145" s="916"/>
      <c r="E145" s="897"/>
      <c r="F145" s="897"/>
      <c r="G145" s="845"/>
      <c r="H145" s="845"/>
    </row>
    <row r="146" spans="1:8" ht="12.75" customHeight="1" x14ac:dyDescent="0.2">
      <c r="A146" s="908"/>
      <c r="B146" s="908"/>
      <c r="C146" s="908"/>
      <c r="D146" s="916"/>
      <c r="E146" s="897"/>
      <c r="F146" s="897"/>
      <c r="G146" s="845"/>
      <c r="H146" s="845"/>
    </row>
    <row r="147" spans="1:8" ht="12.75" customHeight="1" x14ac:dyDescent="0.2">
      <c r="A147" s="908"/>
      <c r="B147" s="908"/>
      <c r="C147" s="908"/>
      <c r="D147" s="916"/>
      <c r="E147" s="897"/>
      <c r="F147" s="897"/>
      <c r="G147" s="845"/>
      <c r="H147" s="845"/>
    </row>
    <row r="148" spans="1:8" ht="12.75" customHeight="1" x14ac:dyDescent="0.2">
      <c r="A148" s="908"/>
      <c r="B148" s="908"/>
      <c r="C148" s="908"/>
      <c r="D148" s="916"/>
      <c r="E148" s="897"/>
      <c r="F148" s="897"/>
      <c r="G148" s="845"/>
      <c r="H148" s="845"/>
    </row>
  </sheetData>
  <sheetProtection algorithmName="SHA-512" hashValue="rlkmHEO0iujOd1lTMGFjHIjPZDHzOgzWzXihCZIcyy/PTdM4VQGPdiCJ6Nljs/+pCyKfR47851xdoD94ZUfRwQ==" saltValue="g2NjNNqg9hM4tj1t2oeyeQ==" spinCount="100000" sheet="1" objects="1" scenarios="1"/>
  <mergeCells count="161">
    <mergeCell ref="E128:F129"/>
    <mergeCell ref="G128:H129"/>
    <mergeCell ref="E130:F134"/>
    <mergeCell ref="E135:F136"/>
    <mergeCell ref="G135:H136"/>
    <mergeCell ref="D106:D112"/>
    <mergeCell ref="E106:F110"/>
    <mergeCell ref="E111:F112"/>
    <mergeCell ref="G111:H112"/>
    <mergeCell ref="G144:H148"/>
    <mergeCell ref="A113:A143"/>
    <mergeCell ref="B113:B143"/>
    <mergeCell ref="C113:C143"/>
    <mergeCell ref="D113:D117"/>
    <mergeCell ref="E113:F117"/>
    <mergeCell ref="G113:H117"/>
    <mergeCell ref="D118:D122"/>
    <mergeCell ref="E118:F122"/>
    <mergeCell ref="G118:H122"/>
    <mergeCell ref="A144:A148"/>
    <mergeCell ref="B144:B148"/>
    <mergeCell ref="C144:C148"/>
    <mergeCell ref="D144:D148"/>
    <mergeCell ref="E144:F148"/>
    <mergeCell ref="D137:D143"/>
    <mergeCell ref="E137:F141"/>
    <mergeCell ref="G137:H141"/>
    <mergeCell ref="E142:F143"/>
    <mergeCell ref="G142:H143"/>
    <mergeCell ref="G130:H134"/>
    <mergeCell ref="D123:D136"/>
    <mergeCell ref="E123:F127"/>
    <mergeCell ref="G123:H127"/>
    <mergeCell ref="D81:H81"/>
    <mergeCell ref="A82:A112"/>
    <mergeCell ref="B82:B112"/>
    <mergeCell ref="C82:C112"/>
    <mergeCell ref="D82:D86"/>
    <mergeCell ref="E82:F86"/>
    <mergeCell ref="G82:H86"/>
    <mergeCell ref="D87:D91"/>
    <mergeCell ref="E87:F91"/>
    <mergeCell ref="G87:H91"/>
    <mergeCell ref="D92:D105"/>
    <mergeCell ref="E92:F96"/>
    <mergeCell ref="G92:H96"/>
    <mergeCell ref="E97:F98"/>
    <mergeCell ref="G97:H98"/>
    <mergeCell ref="E99:F103"/>
    <mergeCell ref="G99:H103"/>
    <mergeCell ref="E104:F105"/>
    <mergeCell ref="G104:H105"/>
    <mergeCell ref="G106:H110"/>
    <mergeCell ref="A74:B74"/>
    <mergeCell ref="A75:B76"/>
    <mergeCell ref="C75:H76"/>
    <mergeCell ref="A77:B78"/>
    <mergeCell ref="C77:H78"/>
    <mergeCell ref="A80:H80"/>
    <mergeCell ref="A71:B71"/>
    <mergeCell ref="C71:D71"/>
    <mergeCell ref="E71:F71"/>
    <mergeCell ref="G71:H71"/>
    <mergeCell ref="A72:B72"/>
    <mergeCell ref="C72:D72"/>
    <mergeCell ref="E72:F72"/>
    <mergeCell ref="G72:H72"/>
    <mergeCell ref="C68:D68"/>
    <mergeCell ref="C69:D69"/>
    <mergeCell ref="E69:F69"/>
    <mergeCell ref="G69:H69"/>
    <mergeCell ref="A70:B70"/>
    <mergeCell ref="C70:D70"/>
    <mergeCell ref="E70:F70"/>
    <mergeCell ref="G70:H70"/>
    <mergeCell ref="A63:H63"/>
    <mergeCell ref="A64:A67"/>
    <mergeCell ref="B64:B67"/>
    <mergeCell ref="C64:C67"/>
    <mergeCell ref="D64:D67"/>
    <mergeCell ref="E64:E67"/>
    <mergeCell ref="F64:F67"/>
    <mergeCell ref="G64:G67"/>
    <mergeCell ref="H64:H67"/>
    <mergeCell ref="A58:H58"/>
    <mergeCell ref="A59:A62"/>
    <mergeCell ref="B59:B62"/>
    <mergeCell ref="C59:C62"/>
    <mergeCell ref="D59:D62"/>
    <mergeCell ref="E59:E62"/>
    <mergeCell ref="F59:F62"/>
    <mergeCell ref="G59:G62"/>
    <mergeCell ref="H59:H62"/>
    <mergeCell ref="A53:H53"/>
    <mergeCell ref="A54:A57"/>
    <mergeCell ref="B54:B57"/>
    <mergeCell ref="C54:C57"/>
    <mergeCell ref="D54:D57"/>
    <mergeCell ref="E54:E57"/>
    <mergeCell ref="F54:F57"/>
    <mergeCell ref="G54:G57"/>
    <mergeCell ref="H54:H57"/>
    <mergeCell ref="A46:B48"/>
    <mergeCell ref="C46:D48"/>
    <mergeCell ref="E46:F48"/>
    <mergeCell ref="G46:H48"/>
    <mergeCell ref="A50:A52"/>
    <mergeCell ref="B50:B52"/>
    <mergeCell ref="C50:C52"/>
    <mergeCell ref="D50:D52"/>
    <mergeCell ref="E50:E52"/>
    <mergeCell ref="F50:F52"/>
    <mergeCell ref="G50:G52"/>
    <mergeCell ref="H50:H52"/>
    <mergeCell ref="A43:B43"/>
    <mergeCell ref="C43:D43"/>
    <mergeCell ref="E43:F43"/>
    <mergeCell ref="G43:H43"/>
    <mergeCell ref="A44:B45"/>
    <mergeCell ref="C44:D45"/>
    <mergeCell ref="E44:F45"/>
    <mergeCell ref="G44:H45"/>
    <mergeCell ref="A33:B41"/>
    <mergeCell ref="C33:D41"/>
    <mergeCell ref="A42:B42"/>
    <mergeCell ref="C42:D42"/>
    <mergeCell ref="E42:F42"/>
    <mergeCell ref="G42:H42"/>
    <mergeCell ref="A28:B29"/>
    <mergeCell ref="C28:H29"/>
    <mergeCell ref="C31:D31"/>
    <mergeCell ref="E31:F31"/>
    <mergeCell ref="G31:H31"/>
    <mergeCell ref="A32:B32"/>
    <mergeCell ref="C32:D32"/>
    <mergeCell ref="E32:F32"/>
    <mergeCell ref="G32:H32"/>
    <mergeCell ref="A25:B25"/>
    <mergeCell ref="C25:H25"/>
    <mergeCell ref="A26:B26"/>
    <mergeCell ref="C26:H26"/>
    <mergeCell ref="A27:B27"/>
    <mergeCell ref="C27:H27"/>
    <mergeCell ref="A22:B22"/>
    <mergeCell ref="C22:H22"/>
    <mergeCell ref="A23:B23"/>
    <mergeCell ref="C23:H23"/>
    <mergeCell ref="A24:B24"/>
    <mergeCell ref="C24:H24"/>
    <mergeCell ref="A11:B15"/>
    <mergeCell ref="C11:H15"/>
    <mergeCell ref="A17:B20"/>
    <mergeCell ref="C17:H20"/>
    <mergeCell ref="A21:B21"/>
    <mergeCell ref="C21:H21"/>
    <mergeCell ref="A8:B8"/>
    <mergeCell ref="C8:H8"/>
    <mergeCell ref="A9:B9"/>
    <mergeCell ref="C9:H9"/>
    <mergeCell ref="A10:B10"/>
    <mergeCell ref="C10:H10"/>
  </mergeCells>
  <conditionalFormatting sqref="G104">
    <cfRule type="containsText" dxfId="146" priority="28" operator="containsText" text="Yes">
      <formula>NOT(ISERROR(SEARCH("Yes",G104)))</formula>
    </cfRule>
    <cfRule type="containsText" dxfId="145" priority="29" operator="containsText" text="No">
      <formula>NOT(ISERROR(SEARCH("No",G104)))</formula>
    </cfRule>
    <cfRule type="containsText" dxfId="144" priority="30" operator="containsText" text="N/A">
      <formula>NOT(ISERROR(SEARCH("N/A",G104)))</formula>
    </cfRule>
  </conditionalFormatting>
  <conditionalFormatting sqref="G111">
    <cfRule type="containsText" dxfId="143" priority="13" operator="containsText" text="Yes">
      <formula>NOT(ISERROR(SEARCH("Yes",G111)))</formula>
    </cfRule>
    <cfRule type="containsText" dxfId="142" priority="14" operator="containsText" text="No">
      <formula>NOT(ISERROR(SEARCH("No",G111)))</formula>
    </cfRule>
    <cfRule type="containsText" dxfId="141" priority="15" operator="containsText" text="N/A">
      <formula>NOT(ISERROR(SEARCH("N/A",G111)))</formula>
    </cfRule>
  </conditionalFormatting>
  <conditionalFormatting sqref="G128">
    <cfRule type="containsText" dxfId="140" priority="7" operator="containsText" text="Yes">
      <formula>NOT(ISERROR(SEARCH("Yes",G128)))</formula>
    </cfRule>
    <cfRule type="containsText" dxfId="139" priority="8" operator="containsText" text="No">
      <formula>NOT(ISERROR(SEARCH("No",G128)))</formula>
    </cfRule>
    <cfRule type="containsText" dxfId="138" priority="9" operator="containsText" text="N/A">
      <formula>NOT(ISERROR(SEARCH("N/A",G128)))</formula>
    </cfRule>
  </conditionalFormatting>
  <conditionalFormatting sqref="G97">
    <cfRule type="containsText" dxfId="137" priority="10" operator="containsText" text="Yes">
      <formula>NOT(ISERROR(SEARCH("Yes",G97)))</formula>
    </cfRule>
    <cfRule type="containsText" dxfId="136" priority="11" operator="containsText" text="No">
      <formula>NOT(ISERROR(SEARCH("No",G97)))</formula>
    </cfRule>
    <cfRule type="containsText" dxfId="135" priority="12" operator="containsText" text="N/A">
      <formula>NOT(ISERROR(SEARCH("N/A",G97)))</formula>
    </cfRule>
  </conditionalFormatting>
  <conditionalFormatting sqref="G135">
    <cfRule type="containsText" dxfId="134" priority="4" operator="containsText" text="Yes">
      <formula>NOT(ISERROR(SEARCH("Yes",G135)))</formula>
    </cfRule>
    <cfRule type="containsText" dxfId="133" priority="5" operator="containsText" text="No">
      <formula>NOT(ISERROR(SEARCH("No",G135)))</formula>
    </cfRule>
    <cfRule type="containsText" dxfId="132" priority="6" operator="containsText" text="N/A">
      <formula>NOT(ISERROR(SEARCH("N/A",G135)))</formula>
    </cfRule>
  </conditionalFormatting>
  <conditionalFormatting sqref="G142">
    <cfRule type="containsText" dxfId="131" priority="1" operator="containsText" text="Yes">
      <formula>NOT(ISERROR(SEARCH("Yes",G142)))</formula>
    </cfRule>
    <cfRule type="containsText" dxfId="130" priority="2" operator="containsText" text="No">
      <formula>NOT(ISERROR(SEARCH("No",G142)))</formula>
    </cfRule>
    <cfRule type="containsText" dxfId="129" priority="3" operator="containsText" text="N/A">
      <formula>NOT(ISERROR(SEARCH("N/A",G142)))</formula>
    </cfRule>
  </conditionalFormatting>
  <pageMargins left="0.7" right="0.7" top="0.75" bottom="0.75" header="0.3" footer="0.3"/>
  <pageSetup scale="50" fitToHeight="0" orientation="landscape" r:id="rId1"/>
  <drawing r:id="rId2"/>
  <legacyDrawing r:id="rId3"/>
  <controls>
    <mc:AlternateContent xmlns:mc="http://schemas.openxmlformats.org/markup-compatibility/2006">
      <mc:Choice Requires="x14">
        <control shapeId="18433"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8433" r:id="rId4" name="backMenuBtn"/>
      </mc:Fallback>
    </mc:AlternateContent>
    <mc:AlternateContent xmlns:mc="http://schemas.openxmlformats.org/markup-compatibility/2006">
      <mc:Choice Requires="x14">
        <control shapeId="18434" r:id="rId6" name="CommandButton1">
          <controlPr defaultSize="0" autoLine="0" r:id="rId7">
            <anchor moveWithCells="1">
              <from>
                <xdr:col>1</xdr:col>
                <xdr:colOff>657225</xdr:colOff>
                <xdr:row>0</xdr:row>
                <xdr:rowOff>0</xdr:rowOff>
              </from>
              <to>
                <xdr:col>1</xdr:col>
                <xdr:colOff>1857375</xdr:colOff>
                <xdr:row>1</xdr:row>
                <xdr:rowOff>114300</xdr:rowOff>
              </to>
            </anchor>
          </controlPr>
        </control>
      </mc:Choice>
      <mc:Fallback>
        <control shapeId="18434" r:id="rId6" name="CommandButton1"/>
      </mc:Fallback>
    </mc:AlternateContent>
    <mc:AlternateContent xmlns:mc="http://schemas.openxmlformats.org/markup-compatibility/2006">
      <mc:Choice Requires="x14">
        <control shapeId="18435" r:id="rId8" name="CommandButton2">
          <controlPr defaultSize="0" autoLine="0" r:id="rId9">
            <anchor moveWithCells="1">
              <from>
                <xdr:col>0</xdr:col>
                <xdr:colOff>1362075</xdr:colOff>
                <xdr:row>0</xdr:row>
                <xdr:rowOff>9525</xdr:rowOff>
              </from>
              <to>
                <xdr:col>1</xdr:col>
                <xdr:colOff>523875</xdr:colOff>
                <xdr:row>1</xdr:row>
                <xdr:rowOff>123825</xdr:rowOff>
              </to>
            </anchor>
          </controlPr>
        </control>
      </mc:Choice>
      <mc:Fallback>
        <control shapeId="18435"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Dropdown!$H$2:$H$13</xm:f>
          </x14:formula1>
          <xm:sqref>C46:H48 C72:H72</xm:sqref>
        </x14:dataValidation>
        <x14:dataValidation type="list" allowBlank="1" showInputMessage="1" showErrorMessage="1">
          <x14:formula1>
            <xm:f>Dropdown!$I$2:$I$5</xm:f>
          </x14:formula1>
          <xm:sqref>G111:H112 G104:H105 G97:H98 G142:H143 G135:H136 G128:H129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50"/>
    <pageSetUpPr fitToPage="1"/>
  </sheetPr>
  <dimension ref="A1:J118"/>
  <sheetViews>
    <sheetView showGridLines="0" zoomScale="75" zoomScaleNormal="75" zoomScalePageLayoutView="60" workbookViewId="0">
      <pane xSplit="3" ySplit="15" topLeftCell="D16" activePane="bottomRight" state="frozen"/>
      <selection activeCell="C156" sqref="C156"/>
      <selection pane="topRight" activeCell="C156" sqref="C156"/>
      <selection pane="bottomLeft" activeCell="C156" sqref="C156"/>
      <selection pane="bottomRight" activeCell="C156" sqref="C156"/>
    </sheetView>
  </sheetViews>
  <sheetFormatPr defaultColWidth="9.42578125" defaultRowHeight="12.75" customHeight="1" outlineLevelRow="1" x14ac:dyDescent="0.2"/>
  <cols>
    <col min="1" max="3" width="20.5703125" style="267" customWidth="1"/>
    <col min="4" max="9" width="30.5703125" style="267" customWidth="1"/>
    <col min="10" max="10" width="1.5703125" style="267" customWidth="1"/>
    <col min="11" max="16384" width="9.42578125" style="267"/>
  </cols>
  <sheetData>
    <row r="1" spans="1:9" ht="12.75" customHeight="1" x14ac:dyDescent="0.2">
      <c r="A1" s="267" t="s">
        <v>764</v>
      </c>
    </row>
    <row r="3" spans="1:9" ht="12.75" customHeight="1" outlineLevel="1" x14ac:dyDescent="0.2">
      <c r="A3" s="266" t="str">
        <f>Narrative!A3</f>
        <v>ViewRay</v>
      </c>
      <c r="B3" s="266"/>
    </row>
    <row r="4" spans="1:9" ht="12.75" customHeight="1" outlineLevel="1" x14ac:dyDescent="0.2">
      <c r="A4" s="268" t="s">
        <v>394</v>
      </c>
      <c r="B4" s="268"/>
    </row>
    <row r="5" spans="1:9" ht="12.75" customHeight="1" outlineLevel="1" x14ac:dyDescent="0.2">
      <c r="A5" s="266" t="str">
        <f>Narrative!A5</f>
        <v>Financial Close and Reporting (FCR)</v>
      </c>
      <c r="B5" s="266"/>
    </row>
    <row r="6" spans="1:9" ht="12.75" customHeight="1" outlineLevel="1" x14ac:dyDescent="0.2">
      <c r="A6" s="266" t="str">
        <f>Narrative!A6</f>
        <v>FY 2019</v>
      </c>
      <c r="B6" s="266"/>
    </row>
    <row r="7" spans="1:9" ht="12.75" customHeight="1" outlineLevel="1" x14ac:dyDescent="0.2">
      <c r="A7" s="269"/>
      <c r="B7" s="269"/>
      <c r="C7" s="269"/>
      <c r="D7" s="270"/>
      <c r="E7" s="270"/>
      <c r="F7" s="270"/>
      <c r="G7" s="270"/>
      <c r="H7" s="270"/>
      <c r="I7" s="271"/>
    </row>
    <row r="8" spans="1:9" ht="12.75" customHeight="1" x14ac:dyDescent="0.2">
      <c r="A8" s="473" t="s">
        <v>395</v>
      </c>
      <c r="B8" s="705"/>
      <c r="C8" s="474"/>
      <c r="D8" s="470" t="str">
        <f>RCM!A11</f>
        <v>FCR</v>
      </c>
      <c r="E8" s="471"/>
      <c r="F8" s="471"/>
      <c r="G8" s="471"/>
      <c r="H8" s="471"/>
      <c r="I8" s="472"/>
    </row>
    <row r="9" spans="1:9" ht="12.75" customHeight="1" x14ac:dyDescent="0.2">
      <c r="A9" s="466" t="s">
        <v>396</v>
      </c>
      <c r="B9" s="466"/>
      <c r="C9" s="475"/>
      <c r="D9" s="470" t="str">
        <f>VLOOKUP($D$10,RCM!J:X,4,0)</f>
        <v>Corporate Controller</v>
      </c>
      <c r="E9" s="471"/>
      <c r="F9" s="471"/>
      <c r="G9" s="471"/>
      <c r="H9" s="471"/>
      <c r="I9" s="472"/>
    </row>
    <row r="10" spans="1:9" ht="12.75" customHeight="1" x14ac:dyDescent="0.2">
      <c r="A10" s="459" t="s">
        <v>397</v>
      </c>
      <c r="B10" s="459"/>
      <c r="C10" s="476"/>
      <c r="D10" s="470" t="str">
        <f>RCM!J23</f>
        <v>FCR 5.11</v>
      </c>
      <c r="E10" s="471"/>
      <c r="F10" s="471"/>
      <c r="G10" s="471"/>
      <c r="H10" s="471"/>
      <c r="I10" s="472"/>
    </row>
    <row r="11" spans="1:9" ht="12.75" customHeight="1" x14ac:dyDescent="0.2">
      <c r="A11" s="459" t="s">
        <v>398</v>
      </c>
      <c r="B11" s="459"/>
      <c r="C11" s="459"/>
      <c r="D11" s="460" t="str">
        <f>VLOOKUP($D$10,RCM!J:X,2,0)</f>
        <v>Transactions that do not occur in the Company’s normal course of business are considered unusual or non-routine transactions.  When a transaction has been identified as a material and unusual or non-routine transaction, a memo is prepared by the External Consultant, or the Senior Manager, SEC &amp; SOX or designate. The memo documents the nature of the transaction and the prescribed accounting treatment. Upon completion of the memo, it is reviewed and approved by the Corporate Controller, as evidenced by sign off and date.  The review is inclusive of the accounting treatment associated with the transaction, as well as the related tax and any possible specific cash flow and/or related party consideration that must be given to the transaction.</v>
      </c>
      <c r="E11" s="461"/>
      <c r="F11" s="461"/>
      <c r="G11" s="461"/>
      <c r="H11" s="461"/>
      <c r="I11" s="462"/>
    </row>
    <row r="12" spans="1:9" ht="12.75" customHeight="1" x14ac:dyDescent="0.2">
      <c r="A12" s="459"/>
      <c r="B12" s="459"/>
      <c r="C12" s="459"/>
      <c r="D12" s="467"/>
      <c r="E12" s="468"/>
      <c r="F12" s="468"/>
      <c r="G12" s="468"/>
      <c r="H12" s="468"/>
      <c r="I12" s="469"/>
    </row>
    <row r="13" spans="1:9" ht="12.75" customHeight="1" x14ac:dyDescent="0.2">
      <c r="A13" s="459"/>
      <c r="B13" s="459"/>
      <c r="C13" s="459"/>
      <c r="D13" s="467"/>
      <c r="E13" s="468"/>
      <c r="F13" s="468"/>
      <c r="G13" s="468"/>
      <c r="H13" s="468"/>
      <c r="I13" s="469"/>
    </row>
    <row r="14" spans="1:9" ht="12.75" customHeight="1" x14ac:dyDescent="0.2">
      <c r="A14" s="459"/>
      <c r="B14" s="459"/>
      <c r="C14" s="459"/>
      <c r="D14" s="467"/>
      <c r="E14" s="468"/>
      <c r="F14" s="468"/>
      <c r="G14" s="468"/>
      <c r="H14" s="468"/>
      <c r="I14" s="469"/>
    </row>
    <row r="15" spans="1:9" ht="12.75" customHeight="1" x14ac:dyDescent="0.2">
      <c r="A15" s="459"/>
      <c r="B15" s="459"/>
      <c r="C15" s="459"/>
      <c r="D15" s="463" t="e">
        <v>#N/A</v>
      </c>
      <c r="E15" s="464"/>
      <c r="F15" s="464"/>
      <c r="G15" s="464"/>
      <c r="H15" s="464"/>
      <c r="I15" s="465"/>
    </row>
    <row r="16" spans="1:9" ht="12.75" customHeight="1" x14ac:dyDescent="0.2">
      <c r="A16" s="272"/>
      <c r="B16" s="272"/>
      <c r="C16" s="273"/>
      <c r="D16" s="274"/>
      <c r="E16" s="274"/>
      <c r="F16" s="274"/>
      <c r="G16" s="274"/>
      <c r="H16" s="274"/>
      <c r="I16" s="271"/>
    </row>
    <row r="17" spans="1:9" ht="12.75" customHeight="1" x14ac:dyDescent="0.2">
      <c r="A17" s="466" t="s">
        <v>399</v>
      </c>
      <c r="B17" s="466"/>
      <c r="C17" s="466"/>
      <c r="D17" s="460" t="str">
        <f>VLOOKUP($D$10,RCM!J:X,12,)</f>
        <v>1. Inquire with Senior Director of Accounting &amp; Extremal Reporting about any non-routine transactions during the period,
2. Obtain memo's for non routine transactions,
3. Ensure accounting guidance referred to in the memo is appropriate
4. Verify review and approval by the Corporate Controller</v>
      </c>
      <c r="E17" s="461"/>
      <c r="F17" s="461"/>
      <c r="G17" s="461"/>
      <c r="H17" s="461"/>
      <c r="I17" s="462"/>
    </row>
    <row r="18" spans="1:9" ht="12.75" customHeight="1" x14ac:dyDescent="0.2">
      <c r="A18" s="466"/>
      <c r="B18" s="466"/>
      <c r="C18" s="466"/>
      <c r="D18" s="467"/>
      <c r="E18" s="468"/>
      <c r="F18" s="468"/>
      <c r="G18" s="468"/>
      <c r="H18" s="468"/>
      <c r="I18" s="469"/>
    </row>
    <row r="19" spans="1:9" ht="12.75" customHeight="1" x14ac:dyDescent="0.2">
      <c r="A19" s="466"/>
      <c r="B19" s="466"/>
      <c r="C19" s="466"/>
      <c r="D19" s="467"/>
      <c r="E19" s="468"/>
      <c r="F19" s="468"/>
      <c r="G19" s="468"/>
      <c r="H19" s="468"/>
      <c r="I19" s="469"/>
    </row>
    <row r="20" spans="1:9" ht="12.75" customHeight="1" x14ac:dyDescent="0.2">
      <c r="A20" s="466"/>
      <c r="B20" s="466"/>
      <c r="C20" s="466"/>
      <c r="D20" s="467"/>
      <c r="E20" s="468"/>
      <c r="F20" s="468"/>
      <c r="G20" s="468"/>
      <c r="H20" s="468"/>
      <c r="I20" s="469"/>
    </row>
    <row r="21" spans="1:9" ht="12.75" customHeight="1" x14ac:dyDescent="0.2">
      <c r="A21" s="466"/>
      <c r="B21" s="466"/>
      <c r="C21" s="466"/>
      <c r="D21" s="463" t="e">
        <v>#N/A</v>
      </c>
      <c r="E21" s="464"/>
      <c r="F21" s="464"/>
      <c r="G21" s="464"/>
      <c r="H21" s="464"/>
      <c r="I21" s="465"/>
    </row>
    <row r="22" spans="1:9" ht="12.75" customHeight="1" x14ac:dyDescent="0.2">
      <c r="A22" s="466" t="s">
        <v>400</v>
      </c>
      <c r="B22" s="466"/>
      <c r="C22" s="466"/>
      <c r="D22" s="470" t="str">
        <f>VLOOKUP($D$10,RCM!J:X,8,0)</f>
        <v>Inspection</v>
      </c>
      <c r="E22" s="471"/>
      <c r="F22" s="471"/>
      <c r="G22" s="471"/>
      <c r="H22" s="471"/>
      <c r="I22" s="472"/>
    </row>
    <row r="23" spans="1:9" ht="12.75" customHeight="1" x14ac:dyDescent="0.2">
      <c r="A23" s="466" t="s">
        <v>401</v>
      </c>
      <c r="B23" s="466"/>
      <c r="C23" s="475"/>
      <c r="D23" s="470" t="str">
        <f>VLOOKUP($D$10,RCM!J:X,5,0)</f>
        <v>Transactional</v>
      </c>
      <c r="E23" s="471"/>
      <c r="F23" s="471"/>
      <c r="G23" s="471"/>
      <c r="H23" s="471"/>
      <c r="I23" s="472"/>
    </row>
    <row r="24" spans="1:9" ht="12.75" customHeight="1" x14ac:dyDescent="0.2">
      <c r="A24" s="466" t="s">
        <v>402</v>
      </c>
      <c r="B24" s="466"/>
      <c r="C24" s="475"/>
      <c r="D24" s="709">
        <f>VLOOKUP($D$10,RCM!J:X,3,0)</f>
        <v>42186</v>
      </c>
      <c r="E24" s="709"/>
      <c r="F24" s="709"/>
      <c r="G24" s="709"/>
      <c r="H24" s="709"/>
      <c r="I24" s="709"/>
    </row>
    <row r="25" spans="1:9" s="275" customFormat="1" ht="12.75" customHeight="1" x14ac:dyDescent="0.2">
      <c r="A25" s="466" t="s">
        <v>403</v>
      </c>
      <c r="B25" s="466"/>
      <c r="C25" s="475"/>
      <c r="D25" s="470" t="str">
        <f>VLOOKUP($D$10,RCM!J:X,10,0)</f>
        <v>High</v>
      </c>
      <c r="E25" s="471"/>
      <c r="F25" s="471"/>
      <c r="G25" s="471"/>
      <c r="H25" s="471"/>
      <c r="I25" s="472"/>
    </row>
    <row r="26" spans="1:9" ht="12.75" customHeight="1" x14ac:dyDescent="0.2">
      <c r="A26" s="466" t="s">
        <v>404</v>
      </c>
      <c r="B26" s="466"/>
      <c r="C26" s="475"/>
      <c r="D26" s="477" t="str">
        <f>RCM!$AB$3</f>
        <v>1/1/19 - 6/30/19</v>
      </c>
      <c r="E26" s="478"/>
      <c r="F26" s="478"/>
      <c r="G26" s="478"/>
      <c r="H26" s="478"/>
      <c r="I26" s="479"/>
    </row>
    <row r="27" spans="1:9" ht="12.75" customHeight="1" x14ac:dyDescent="0.2">
      <c r="A27" s="466" t="s">
        <v>405</v>
      </c>
      <c r="B27" s="466"/>
      <c r="C27" s="475"/>
      <c r="D27" s="706">
        <f>VLOOKUP(D$10,RCM!$J$9:$AG$29,20,0)</f>
        <v>2</v>
      </c>
      <c r="E27" s="707"/>
      <c r="F27" s="707"/>
      <c r="G27" s="707"/>
      <c r="H27" s="707"/>
      <c r="I27" s="708"/>
    </row>
    <row r="28" spans="1:9" ht="12.75" customHeight="1" x14ac:dyDescent="0.2">
      <c r="A28" s="466" t="s">
        <v>406</v>
      </c>
      <c r="B28" s="466"/>
      <c r="C28" s="475"/>
      <c r="D28" s="483" t="str">
        <f>RCM!$AB$5&amp;" "&amp;VLOOKUP(D$10,RCM!$J$9:$AG$29,21,0)&amp;" "&amp;RCM!$AB$6</f>
        <v>Annual sample size: 2 (See sample size derivation below)</v>
      </c>
      <c r="E28" s="484"/>
      <c r="F28" s="484"/>
      <c r="G28" s="484"/>
      <c r="H28" s="484"/>
      <c r="I28" s="485"/>
    </row>
    <row r="29" spans="1:9" ht="12.75" customHeight="1" x14ac:dyDescent="0.2">
      <c r="A29" s="489" t="s">
        <v>407</v>
      </c>
      <c r="B29" s="710"/>
      <c r="C29" s="490"/>
      <c r="D29" s="460" t="s">
        <v>552</v>
      </c>
      <c r="E29" s="461"/>
      <c r="F29" s="461"/>
      <c r="G29" s="461"/>
      <c r="H29" s="461"/>
      <c r="I29" s="462"/>
    </row>
    <row r="30" spans="1:9" s="275" customFormat="1" ht="12.75" customHeight="1" x14ac:dyDescent="0.2">
      <c r="A30" s="493"/>
      <c r="B30" s="711"/>
      <c r="C30" s="494"/>
      <c r="D30" s="463"/>
      <c r="E30" s="464"/>
      <c r="F30" s="464"/>
      <c r="G30" s="464"/>
      <c r="H30" s="464"/>
      <c r="I30" s="465"/>
    </row>
    <row r="31" spans="1:9" ht="12.75" customHeight="1" x14ac:dyDescent="0.2">
      <c r="A31" s="277"/>
      <c r="B31" s="277"/>
      <c r="C31" s="277"/>
      <c r="D31" s="278"/>
      <c r="E31" s="278"/>
      <c r="F31" s="278"/>
      <c r="G31" s="278"/>
      <c r="H31" s="278"/>
      <c r="I31" s="278"/>
    </row>
    <row r="32" spans="1:9" ht="12.75" customHeight="1" x14ac:dyDescent="0.2">
      <c r="A32" s="279"/>
      <c r="B32" s="279"/>
      <c r="C32" s="279"/>
      <c r="D32" s="504" t="s">
        <v>409</v>
      </c>
      <c r="E32" s="505"/>
      <c r="F32" s="506" t="s">
        <v>410</v>
      </c>
      <c r="G32" s="507"/>
      <c r="H32" s="506" t="s">
        <v>411</v>
      </c>
      <c r="I32" s="507"/>
    </row>
    <row r="33" spans="1:10" ht="12.75" customHeight="1" x14ac:dyDescent="0.2">
      <c r="A33" s="508" t="s">
        <v>412</v>
      </c>
      <c r="B33" s="508"/>
      <c r="C33" s="509"/>
      <c r="D33" s="898">
        <f>VLOOKUP($D$10,RCM!$J$9:$AG$29,22,0)</f>
        <v>1</v>
      </c>
      <c r="E33" s="511"/>
      <c r="F33" s="899">
        <f>VLOOKUP($D$10,RCM!$J$9:$AG$29,23,0)</f>
        <v>0</v>
      </c>
      <c r="G33" s="899"/>
      <c r="H33" s="899">
        <f>VLOOKUP($D$10,RCM!$J$9:$AG$29,24,0)</f>
        <v>1</v>
      </c>
      <c r="I33" s="899"/>
    </row>
    <row r="34" spans="1:10" ht="12.75" customHeight="1" outlineLevel="1" x14ac:dyDescent="0.2">
      <c r="A34" s="523" t="s">
        <v>413</v>
      </c>
      <c r="B34" s="524"/>
      <c r="C34" s="524"/>
      <c r="D34" s="900" t="s">
        <v>354</v>
      </c>
      <c r="E34" s="900"/>
      <c r="F34" s="302"/>
      <c r="G34" s="303"/>
      <c r="H34" s="302"/>
      <c r="I34" s="303"/>
    </row>
    <row r="35" spans="1:10" ht="12.75" customHeight="1" outlineLevel="1" x14ac:dyDescent="0.2">
      <c r="A35" s="525"/>
      <c r="B35" s="526"/>
      <c r="C35" s="526"/>
      <c r="D35" s="900"/>
      <c r="E35" s="900"/>
      <c r="F35" s="304"/>
      <c r="G35" s="305"/>
      <c r="H35" s="304"/>
      <c r="I35" s="305"/>
    </row>
    <row r="36" spans="1:10" ht="12.75" customHeight="1" outlineLevel="1" x14ac:dyDescent="0.2">
      <c r="A36" s="525"/>
      <c r="B36" s="526"/>
      <c r="C36" s="526"/>
      <c r="D36" s="900"/>
      <c r="E36" s="900"/>
      <c r="F36" s="304"/>
      <c r="G36" s="305"/>
      <c r="H36" s="304"/>
      <c r="I36" s="305"/>
    </row>
    <row r="37" spans="1:10" ht="12.75" customHeight="1" outlineLevel="1" x14ac:dyDescent="0.2">
      <c r="A37" s="525"/>
      <c r="B37" s="526"/>
      <c r="C37" s="526"/>
      <c r="D37" s="900"/>
      <c r="E37" s="900"/>
      <c r="F37" s="304"/>
      <c r="G37" s="305"/>
      <c r="H37" s="304"/>
      <c r="I37" s="305"/>
    </row>
    <row r="38" spans="1:10" ht="12.75" customHeight="1" outlineLevel="1" x14ac:dyDescent="0.2">
      <c r="A38" s="525"/>
      <c r="B38" s="526"/>
      <c r="C38" s="526"/>
      <c r="D38" s="900"/>
      <c r="E38" s="900"/>
      <c r="F38" s="304"/>
      <c r="G38" s="305"/>
      <c r="H38" s="304"/>
      <c r="I38" s="305"/>
    </row>
    <row r="39" spans="1:10" ht="12.75" customHeight="1" outlineLevel="1" x14ac:dyDescent="0.2">
      <c r="A39" s="525"/>
      <c r="B39" s="526"/>
      <c r="C39" s="526"/>
      <c r="D39" s="900"/>
      <c r="E39" s="900"/>
      <c r="F39" s="304"/>
      <c r="G39" s="305"/>
      <c r="H39" s="304"/>
      <c r="I39" s="305"/>
    </row>
    <row r="40" spans="1:10" ht="12.75" customHeight="1" outlineLevel="1" x14ac:dyDescent="0.2">
      <c r="A40" s="525"/>
      <c r="B40" s="526"/>
      <c r="C40" s="526"/>
      <c r="D40" s="900"/>
      <c r="E40" s="900"/>
      <c r="F40" s="304"/>
      <c r="G40" s="305"/>
      <c r="H40" s="304"/>
      <c r="I40" s="305"/>
    </row>
    <row r="41" spans="1:10" ht="12.75" customHeight="1" outlineLevel="1" x14ac:dyDescent="0.2">
      <c r="A41" s="525"/>
      <c r="B41" s="526"/>
      <c r="C41" s="526"/>
      <c r="D41" s="900"/>
      <c r="E41" s="900"/>
      <c r="F41" s="304"/>
      <c r="G41" s="305"/>
      <c r="H41" s="304"/>
      <c r="I41" s="305"/>
    </row>
    <row r="42" spans="1:10" ht="12.75" customHeight="1" outlineLevel="1" x14ac:dyDescent="0.2">
      <c r="A42" s="527"/>
      <c r="B42" s="528"/>
      <c r="C42" s="528"/>
      <c r="D42" s="900"/>
      <c r="E42" s="900"/>
      <c r="F42" s="306"/>
      <c r="G42" s="307"/>
      <c r="H42" s="306"/>
      <c r="I42" s="307"/>
    </row>
    <row r="43" spans="1:10" ht="12.75" customHeight="1" x14ac:dyDescent="0.2">
      <c r="A43" s="512" t="s">
        <v>415</v>
      </c>
      <c r="B43" s="713"/>
      <c r="C43" s="513"/>
      <c r="D43" s="540" t="s">
        <v>665</v>
      </c>
      <c r="E43" s="511"/>
      <c r="F43" s="540"/>
      <c r="G43" s="541"/>
      <c r="H43" s="540"/>
      <c r="I43" s="541"/>
    </row>
    <row r="44" spans="1:10" ht="12.75" customHeight="1" x14ac:dyDescent="0.2">
      <c r="A44" s="512" t="s">
        <v>417</v>
      </c>
      <c r="B44" s="713"/>
      <c r="C44" s="513"/>
      <c r="D44" s="514" t="s">
        <v>666</v>
      </c>
      <c r="E44" s="511"/>
      <c r="F44" s="540"/>
      <c r="G44" s="541"/>
      <c r="H44" s="540"/>
      <c r="I44" s="541"/>
    </row>
    <row r="45" spans="1:10" ht="12.75" customHeight="1" x14ac:dyDescent="0.2">
      <c r="A45" s="795" t="s">
        <v>418</v>
      </c>
      <c r="B45" s="795"/>
      <c r="C45" s="795"/>
      <c r="D45" s="515" t="str">
        <f>VLOOKUP(D$10,'WT (WT)'!$A$8:$K$24,11,0)</f>
        <v>Effective</v>
      </c>
      <c r="E45" s="516"/>
      <c r="F45" s="515"/>
      <c r="G45" s="516"/>
      <c r="H45" s="519"/>
      <c r="I45" s="520"/>
    </row>
    <row r="46" spans="1:10" ht="12.75" customHeight="1" x14ac:dyDescent="0.2">
      <c r="A46" s="795"/>
      <c r="B46" s="795"/>
      <c r="C46" s="795"/>
      <c r="D46" s="517"/>
      <c r="E46" s="518"/>
      <c r="F46" s="517"/>
      <c r="G46" s="518"/>
      <c r="H46" s="521"/>
      <c r="I46" s="522"/>
      <c r="J46" s="271"/>
    </row>
    <row r="47" spans="1:10" ht="12.75" customHeight="1" x14ac:dyDescent="0.2">
      <c r="A47" s="795" t="s">
        <v>419</v>
      </c>
      <c r="B47" s="795"/>
      <c r="C47" s="795"/>
      <c r="D47" s="519" t="s">
        <v>330</v>
      </c>
      <c r="E47" s="520"/>
      <c r="F47" s="519"/>
      <c r="G47" s="520"/>
      <c r="H47" s="519"/>
      <c r="I47" s="520"/>
      <c r="J47" s="271"/>
    </row>
    <row r="48" spans="1:10" ht="12.75" customHeight="1" x14ac:dyDescent="0.2">
      <c r="A48" s="795"/>
      <c r="B48" s="795"/>
      <c r="C48" s="795"/>
      <c r="D48" s="542"/>
      <c r="E48" s="543"/>
      <c r="F48" s="542"/>
      <c r="G48" s="543"/>
      <c r="H48" s="542"/>
      <c r="I48" s="543"/>
      <c r="J48" s="271"/>
    </row>
    <row r="49" spans="1:10" ht="12.75" customHeight="1" x14ac:dyDescent="0.2">
      <c r="A49" s="795"/>
      <c r="B49" s="795"/>
      <c r="C49" s="795"/>
      <c r="D49" s="521"/>
      <c r="E49" s="522"/>
      <c r="F49" s="521"/>
      <c r="G49" s="522"/>
      <c r="H49" s="521"/>
      <c r="I49" s="522"/>
      <c r="J49" s="271"/>
    </row>
    <row r="50" spans="1:10" ht="12.75" customHeight="1" x14ac:dyDescent="0.2">
      <c r="A50" s="280"/>
      <c r="B50" s="280"/>
      <c r="C50" s="280"/>
      <c r="D50" s="271"/>
      <c r="E50" s="271"/>
      <c r="F50" s="271"/>
      <c r="G50" s="271"/>
      <c r="H50" s="281"/>
      <c r="I50" s="271"/>
      <c r="J50" s="271"/>
    </row>
    <row r="51" spans="1:10" ht="12.75" customHeight="1" x14ac:dyDescent="0.2">
      <c r="A51" s="544" t="s">
        <v>420</v>
      </c>
      <c r="B51" s="544" t="s">
        <v>535</v>
      </c>
      <c r="C51" s="544" t="s">
        <v>667</v>
      </c>
      <c r="D51" s="544" t="s">
        <v>668</v>
      </c>
      <c r="E51" s="544" t="s">
        <v>669</v>
      </c>
      <c r="F51" s="544" t="s">
        <v>670</v>
      </c>
      <c r="G51" s="544" t="s">
        <v>671</v>
      </c>
      <c r="H51" s="544" t="s">
        <v>672</v>
      </c>
      <c r="I51" s="544" t="s">
        <v>427</v>
      </c>
      <c r="J51" s="271"/>
    </row>
    <row r="52" spans="1:10" ht="12.75" customHeight="1" x14ac:dyDescent="0.2">
      <c r="A52" s="544"/>
      <c r="B52" s="544"/>
      <c r="C52" s="544"/>
      <c r="D52" s="544"/>
      <c r="E52" s="544"/>
      <c r="F52" s="544"/>
      <c r="G52" s="544"/>
      <c r="H52" s="544"/>
      <c r="I52" s="544"/>
      <c r="J52" s="271"/>
    </row>
    <row r="53" spans="1:10" ht="12.75" customHeight="1" x14ac:dyDescent="0.2">
      <c r="A53" s="544"/>
      <c r="B53" s="544"/>
      <c r="C53" s="544"/>
      <c r="D53" s="544"/>
      <c r="E53" s="544"/>
      <c r="F53" s="544"/>
      <c r="G53" s="544"/>
      <c r="H53" s="544"/>
      <c r="I53" s="544"/>
      <c r="J53" s="271"/>
    </row>
    <row r="54" spans="1:10" ht="12.75" customHeight="1" x14ac:dyDescent="0.2">
      <c r="A54" s="545" t="s">
        <v>428</v>
      </c>
      <c r="B54" s="546"/>
      <c r="C54" s="546"/>
      <c r="D54" s="547"/>
      <c r="E54" s="547"/>
      <c r="F54" s="547"/>
      <c r="G54" s="547"/>
      <c r="H54" s="547"/>
      <c r="I54" s="548"/>
      <c r="J54" s="271"/>
    </row>
    <row r="55" spans="1:10" s="310" customFormat="1" ht="12.75" customHeight="1" outlineLevel="1" x14ac:dyDescent="0.25">
      <c r="A55" s="552">
        <v>1</v>
      </c>
      <c r="B55" s="552" t="s">
        <v>181</v>
      </c>
      <c r="C55" s="550" t="s">
        <v>673</v>
      </c>
      <c r="D55" s="550" t="s">
        <v>279</v>
      </c>
      <c r="E55" s="550" t="s">
        <v>279</v>
      </c>
      <c r="F55" s="550" t="s">
        <v>674</v>
      </c>
      <c r="G55" s="656" t="s">
        <v>675</v>
      </c>
      <c r="H55" s="550" t="s">
        <v>676</v>
      </c>
      <c r="I55" s="553" t="s">
        <v>432</v>
      </c>
      <c r="J55" s="309"/>
    </row>
    <row r="56" spans="1:10" s="310" customFormat="1" ht="12.75" customHeight="1" outlineLevel="1" x14ac:dyDescent="0.25">
      <c r="A56" s="552"/>
      <c r="B56" s="552"/>
      <c r="C56" s="550"/>
      <c r="D56" s="550"/>
      <c r="E56" s="550"/>
      <c r="F56" s="550"/>
      <c r="G56" s="657"/>
      <c r="H56" s="550"/>
      <c r="I56" s="553"/>
      <c r="J56" s="309"/>
    </row>
    <row r="57" spans="1:10" s="310" customFormat="1" ht="12.75" customHeight="1" outlineLevel="1" x14ac:dyDescent="0.25">
      <c r="A57" s="552"/>
      <c r="B57" s="552"/>
      <c r="C57" s="550"/>
      <c r="D57" s="550"/>
      <c r="E57" s="550"/>
      <c r="F57" s="550"/>
      <c r="G57" s="657"/>
      <c r="H57" s="552"/>
      <c r="I57" s="553"/>
      <c r="J57" s="309"/>
    </row>
    <row r="58" spans="1:10" s="310" customFormat="1" ht="12.75" customHeight="1" outlineLevel="1" x14ac:dyDescent="0.25">
      <c r="A58" s="552"/>
      <c r="B58" s="552"/>
      <c r="C58" s="550"/>
      <c r="D58" s="550"/>
      <c r="E58" s="550"/>
      <c r="F58" s="550"/>
      <c r="G58" s="687"/>
      <c r="H58" s="552"/>
      <c r="I58" s="553"/>
      <c r="J58" s="309"/>
    </row>
    <row r="59" spans="1:10" ht="12.75" customHeight="1" x14ac:dyDescent="0.2">
      <c r="A59" s="545" t="s">
        <v>436</v>
      </c>
      <c r="B59" s="546"/>
      <c r="C59" s="546"/>
      <c r="D59" s="547"/>
      <c r="E59" s="547"/>
      <c r="F59" s="547"/>
      <c r="G59" s="547"/>
      <c r="H59" s="547"/>
      <c r="I59" s="548"/>
      <c r="J59" s="271"/>
    </row>
    <row r="60" spans="1:10" ht="12.75" customHeight="1" outlineLevel="1" x14ac:dyDescent="0.2">
      <c r="A60" s="549"/>
      <c r="B60" s="552"/>
      <c r="C60" s="552"/>
      <c r="D60" s="550"/>
      <c r="E60" s="550"/>
      <c r="F60" s="550"/>
      <c r="G60" s="656"/>
      <c r="H60" s="550"/>
      <c r="I60" s="754"/>
    </row>
    <row r="61" spans="1:10" ht="12.75" customHeight="1" outlineLevel="1" x14ac:dyDescent="0.2">
      <c r="A61" s="549"/>
      <c r="B61" s="552"/>
      <c r="C61" s="552"/>
      <c r="D61" s="550"/>
      <c r="E61" s="550"/>
      <c r="F61" s="550"/>
      <c r="G61" s="657"/>
      <c r="H61" s="550"/>
      <c r="I61" s="754"/>
    </row>
    <row r="62" spans="1:10" ht="12.75" customHeight="1" outlineLevel="1" x14ac:dyDescent="0.2">
      <c r="A62" s="549"/>
      <c r="B62" s="552"/>
      <c r="C62" s="552"/>
      <c r="D62" s="550"/>
      <c r="E62" s="550"/>
      <c r="F62" s="550"/>
      <c r="G62" s="657"/>
      <c r="H62" s="552"/>
      <c r="I62" s="754"/>
    </row>
    <row r="63" spans="1:10" ht="12.75" customHeight="1" outlineLevel="1" x14ac:dyDescent="0.2">
      <c r="A63" s="549"/>
      <c r="B63" s="552"/>
      <c r="C63" s="552"/>
      <c r="D63" s="550"/>
      <c r="E63" s="550"/>
      <c r="F63" s="550"/>
      <c r="G63" s="687"/>
      <c r="H63" s="552"/>
      <c r="I63" s="754"/>
    </row>
    <row r="64" spans="1:10" ht="12.75" customHeight="1" x14ac:dyDescent="0.2">
      <c r="A64" s="560" t="s">
        <v>437</v>
      </c>
      <c r="B64" s="547"/>
      <c r="C64" s="547"/>
      <c r="D64" s="547"/>
      <c r="E64" s="547"/>
      <c r="F64" s="547"/>
      <c r="G64" s="547"/>
      <c r="H64" s="547"/>
      <c r="I64" s="548"/>
    </row>
    <row r="65" spans="1:9" ht="12.75" customHeight="1" outlineLevel="1" x14ac:dyDescent="0.2">
      <c r="A65" s="549"/>
      <c r="B65" s="552"/>
      <c r="C65" s="552"/>
      <c r="D65" s="550"/>
      <c r="E65" s="550"/>
      <c r="F65" s="550"/>
      <c r="G65" s="656"/>
      <c r="H65" s="550"/>
      <c r="I65" s="754"/>
    </row>
    <row r="66" spans="1:9" ht="12.75" customHeight="1" outlineLevel="1" x14ac:dyDescent="0.2">
      <c r="A66" s="549"/>
      <c r="B66" s="552"/>
      <c r="C66" s="552"/>
      <c r="D66" s="550"/>
      <c r="E66" s="550"/>
      <c r="F66" s="550"/>
      <c r="G66" s="657"/>
      <c r="H66" s="550"/>
      <c r="I66" s="754"/>
    </row>
    <row r="67" spans="1:9" ht="12.75" customHeight="1" outlineLevel="1" x14ac:dyDescent="0.2">
      <c r="A67" s="549"/>
      <c r="B67" s="552"/>
      <c r="C67" s="552"/>
      <c r="D67" s="550"/>
      <c r="E67" s="550"/>
      <c r="F67" s="550"/>
      <c r="G67" s="657"/>
      <c r="H67" s="552"/>
      <c r="I67" s="754"/>
    </row>
    <row r="68" spans="1:9" ht="12.75" customHeight="1" outlineLevel="1" x14ac:dyDescent="0.2">
      <c r="A68" s="549"/>
      <c r="B68" s="552"/>
      <c r="C68" s="552"/>
      <c r="D68" s="550"/>
      <c r="E68" s="550"/>
      <c r="F68" s="550"/>
      <c r="G68" s="687"/>
      <c r="H68" s="552"/>
      <c r="I68" s="754"/>
    </row>
    <row r="69" spans="1:9" ht="12.75" customHeight="1" x14ac:dyDescent="0.2">
      <c r="A69" s="270"/>
      <c r="B69" s="270"/>
      <c r="C69" s="270"/>
      <c r="D69" s="555"/>
      <c r="E69" s="555"/>
      <c r="F69" s="270"/>
      <c r="G69" s="270"/>
      <c r="H69" s="270"/>
    </row>
    <row r="70" spans="1:9" ht="12.75" customHeight="1" x14ac:dyDescent="0.2">
      <c r="A70" s="282"/>
      <c r="B70" s="282"/>
      <c r="C70" s="282"/>
      <c r="D70" s="506" t="s">
        <v>409</v>
      </c>
      <c r="E70" s="507"/>
      <c r="F70" s="504" t="s">
        <v>410</v>
      </c>
      <c r="G70" s="504"/>
      <c r="H70" s="505" t="s">
        <v>437</v>
      </c>
      <c r="I70" s="505"/>
    </row>
    <row r="71" spans="1:9" ht="12.75" customHeight="1" x14ac:dyDescent="0.2">
      <c r="A71" s="512" t="s">
        <v>438</v>
      </c>
      <c r="B71" s="713"/>
      <c r="C71" s="556"/>
      <c r="D71" s="557" t="s">
        <v>439</v>
      </c>
      <c r="E71" s="558"/>
      <c r="F71" s="690"/>
      <c r="G71" s="691"/>
      <c r="H71" s="557"/>
      <c r="I71" s="558"/>
    </row>
    <row r="72" spans="1:9" ht="12.75" customHeight="1" x14ac:dyDescent="0.2">
      <c r="A72" s="512" t="s">
        <v>440</v>
      </c>
      <c r="B72" s="713"/>
      <c r="C72" s="556"/>
      <c r="D72" s="514">
        <v>43655</v>
      </c>
      <c r="E72" s="581"/>
      <c r="F72" s="557"/>
      <c r="G72" s="558"/>
      <c r="H72" s="557"/>
      <c r="I72" s="558"/>
    </row>
    <row r="73" spans="1:9" ht="12.75" customHeight="1" x14ac:dyDescent="0.2">
      <c r="A73" s="512" t="s">
        <v>441</v>
      </c>
      <c r="B73" s="713"/>
      <c r="C73" s="556"/>
      <c r="D73" s="582" t="s">
        <v>330</v>
      </c>
      <c r="E73" s="583"/>
      <c r="F73" s="557" t="s">
        <v>392</v>
      </c>
      <c r="G73" s="558"/>
      <c r="H73" s="557" t="s">
        <v>392</v>
      </c>
      <c r="I73" s="558"/>
    </row>
    <row r="74" spans="1:9" ht="12.75" customHeight="1" x14ac:dyDescent="0.2">
      <c r="A74" s="270"/>
      <c r="B74" s="270"/>
      <c r="C74" s="270"/>
      <c r="D74" s="270"/>
      <c r="E74" s="270"/>
      <c r="F74" s="270"/>
      <c r="G74" s="270"/>
      <c r="H74" s="270"/>
      <c r="I74" s="270"/>
    </row>
    <row r="75" spans="1:9" ht="12.75" customHeight="1" x14ac:dyDescent="0.2">
      <c r="A75" s="561" t="s">
        <v>442</v>
      </c>
      <c r="B75" s="763"/>
      <c r="C75" s="562"/>
      <c r="D75" s="270"/>
      <c r="E75" s="270"/>
      <c r="F75" s="270"/>
      <c r="G75" s="270"/>
      <c r="H75" s="270"/>
    </row>
    <row r="76" spans="1:9" ht="12.75" customHeight="1" x14ac:dyDescent="0.2">
      <c r="A76" s="701" t="s">
        <v>279</v>
      </c>
      <c r="B76" s="917"/>
      <c r="C76" s="702"/>
      <c r="D76" s="567" t="s">
        <v>443</v>
      </c>
      <c r="E76" s="568"/>
      <c r="F76" s="568"/>
      <c r="G76" s="568"/>
      <c r="H76" s="568"/>
      <c r="I76" s="569"/>
    </row>
    <row r="77" spans="1:9" ht="12.75" customHeight="1" x14ac:dyDescent="0.2">
      <c r="A77" s="703"/>
      <c r="B77" s="918"/>
      <c r="C77" s="704"/>
      <c r="D77" s="570"/>
      <c r="E77" s="571"/>
      <c r="F77" s="571"/>
      <c r="G77" s="571"/>
      <c r="H77" s="571"/>
      <c r="I77" s="572"/>
    </row>
    <row r="78" spans="1:9" ht="12.75" customHeight="1" x14ac:dyDescent="0.2">
      <c r="A78" s="573" t="s">
        <v>432</v>
      </c>
      <c r="B78" s="919"/>
      <c r="C78" s="574"/>
      <c r="D78" s="567" t="s">
        <v>444</v>
      </c>
      <c r="E78" s="568"/>
      <c r="F78" s="568"/>
      <c r="G78" s="568"/>
      <c r="H78" s="568"/>
      <c r="I78" s="569"/>
    </row>
    <row r="79" spans="1:9" ht="12.75" customHeight="1" x14ac:dyDescent="0.2">
      <c r="A79" s="575"/>
      <c r="B79" s="920"/>
      <c r="C79" s="576"/>
      <c r="D79" s="570"/>
      <c r="E79" s="571"/>
      <c r="F79" s="571"/>
      <c r="G79" s="571"/>
      <c r="H79" s="571"/>
      <c r="I79" s="572"/>
    </row>
    <row r="81" spans="1:9" ht="12.75" customHeight="1" x14ac:dyDescent="0.2">
      <c r="A81" s="843" t="s">
        <v>370</v>
      </c>
      <c r="B81" s="843"/>
      <c r="C81" s="843"/>
      <c r="D81" s="843"/>
      <c r="E81" s="843"/>
      <c r="F81" s="843"/>
      <c r="G81" s="843"/>
      <c r="H81" s="843"/>
      <c r="I81" s="843"/>
    </row>
    <row r="82" spans="1:9" ht="12.75" customHeight="1" x14ac:dyDescent="0.2">
      <c r="A82" s="294" t="s">
        <v>449</v>
      </c>
      <c r="B82" s="294" t="s">
        <v>450</v>
      </c>
      <c r="C82" s="294" t="s">
        <v>451</v>
      </c>
      <c r="D82" s="843" t="s">
        <v>452</v>
      </c>
      <c r="E82" s="843"/>
      <c r="F82" s="843"/>
      <c r="G82" s="843"/>
      <c r="H82" s="843"/>
      <c r="I82" s="843"/>
    </row>
    <row r="83" spans="1:9" ht="12.75" customHeight="1" x14ac:dyDescent="0.2">
      <c r="A83" s="908" t="s">
        <v>453</v>
      </c>
      <c r="B83" s="908" t="s">
        <v>454</v>
      </c>
      <c r="C83" s="908" t="s">
        <v>455</v>
      </c>
      <c r="D83" s="603" t="s">
        <v>456</v>
      </c>
      <c r="E83" s="911" t="s">
        <v>457</v>
      </c>
      <c r="F83" s="911"/>
      <c r="G83" s="801" t="s">
        <v>455</v>
      </c>
      <c r="H83" s="801"/>
      <c r="I83" s="801"/>
    </row>
    <row r="84" spans="1:9" ht="12.75" customHeight="1" x14ac:dyDescent="0.2">
      <c r="A84" s="908"/>
      <c r="B84" s="908"/>
      <c r="C84" s="908"/>
      <c r="D84" s="894"/>
      <c r="E84" s="895"/>
      <c r="F84" s="895"/>
      <c r="G84" s="801"/>
      <c r="H84" s="801"/>
      <c r="I84" s="801"/>
    </row>
    <row r="85" spans="1:9" ht="12.75" customHeight="1" x14ac:dyDescent="0.2">
      <c r="A85" s="908"/>
      <c r="B85" s="908"/>
      <c r="C85" s="908"/>
      <c r="D85" s="894"/>
      <c r="E85" s="895"/>
      <c r="F85" s="895"/>
      <c r="G85" s="801"/>
      <c r="H85" s="801"/>
      <c r="I85" s="801"/>
    </row>
    <row r="86" spans="1:9" ht="12.75" customHeight="1" x14ac:dyDescent="0.2">
      <c r="A86" s="908"/>
      <c r="B86" s="908"/>
      <c r="C86" s="908"/>
      <c r="D86" s="894"/>
      <c r="E86" s="895"/>
      <c r="F86" s="895"/>
      <c r="G86" s="801"/>
      <c r="H86" s="801"/>
      <c r="I86" s="801"/>
    </row>
    <row r="87" spans="1:9" ht="12.75" customHeight="1" x14ac:dyDescent="0.2">
      <c r="A87" s="908"/>
      <c r="B87" s="908"/>
      <c r="C87" s="908"/>
      <c r="D87" s="894"/>
      <c r="E87" s="895"/>
      <c r="F87" s="895"/>
      <c r="G87" s="801"/>
      <c r="H87" s="801"/>
      <c r="I87" s="801"/>
    </row>
    <row r="88" spans="1:9" ht="12.75" customHeight="1" x14ac:dyDescent="0.2">
      <c r="A88" s="908"/>
      <c r="B88" s="908"/>
      <c r="C88" s="908"/>
      <c r="D88" s="894" t="s">
        <v>458</v>
      </c>
      <c r="E88" s="895" t="s">
        <v>459</v>
      </c>
      <c r="F88" s="895"/>
      <c r="G88" s="801" t="s">
        <v>455</v>
      </c>
      <c r="H88" s="801"/>
      <c r="I88" s="801"/>
    </row>
    <row r="89" spans="1:9" ht="12.75" customHeight="1" x14ac:dyDescent="0.2">
      <c r="A89" s="908"/>
      <c r="B89" s="908"/>
      <c r="C89" s="908"/>
      <c r="D89" s="894"/>
      <c r="E89" s="895"/>
      <c r="F89" s="895"/>
      <c r="G89" s="801"/>
      <c r="H89" s="801"/>
      <c r="I89" s="801"/>
    </row>
    <row r="90" spans="1:9" ht="12.75" customHeight="1" x14ac:dyDescent="0.2">
      <c r="A90" s="908"/>
      <c r="B90" s="908"/>
      <c r="C90" s="908"/>
      <c r="D90" s="894"/>
      <c r="E90" s="895"/>
      <c r="F90" s="895"/>
      <c r="G90" s="801"/>
      <c r="H90" s="801"/>
      <c r="I90" s="801"/>
    </row>
    <row r="91" spans="1:9" ht="12.75" customHeight="1" x14ac:dyDescent="0.2">
      <c r="A91" s="908"/>
      <c r="B91" s="908"/>
      <c r="C91" s="908"/>
      <c r="D91" s="894"/>
      <c r="E91" s="895"/>
      <c r="F91" s="895"/>
      <c r="G91" s="801"/>
      <c r="H91" s="801"/>
      <c r="I91" s="801"/>
    </row>
    <row r="92" spans="1:9" ht="12.75" customHeight="1" x14ac:dyDescent="0.2">
      <c r="A92" s="908"/>
      <c r="B92" s="908"/>
      <c r="C92" s="908"/>
      <c r="D92" s="894"/>
      <c r="E92" s="895"/>
      <c r="F92" s="895"/>
      <c r="G92" s="801"/>
      <c r="H92" s="801"/>
      <c r="I92" s="801"/>
    </row>
    <row r="93" spans="1:9" ht="12.75" customHeight="1" x14ac:dyDescent="0.2">
      <c r="A93" s="908"/>
      <c r="B93" s="908"/>
      <c r="C93" s="908"/>
      <c r="D93" s="894" t="s">
        <v>460</v>
      </c>
      <c r="E93" s="895" t="s">
        <v>461</v>
      </c>
      <c r="F93" s="895"/>
      <c r="G93" s="801" t="s">
        <v>455</v>
      </c>
      <c r="H93" s="801"/>
      <c r="I93" s="801"/>
    </row>
    <row r="94" spans="1:9" ht="12.75" customHeight="1" x14ac:dyDescent="0.2">
      <c r="A94" s="908"/>
      <c r="B94" s="908"/>
      <c r="C94" s="908"/>
      <c r="D94" s="894"/>
      <c r="E94" s="895"/>
      <c r="F94" s="895"/>
      <c r="G94" s="801"/>
      <c r="H94" s="801"/>
      <c r="I94" s="801"/>
    </row>
    <row r="95" spans="1:9" ht="12.75" customHeight="1" x14ac:dyDescent="0.2">
      <c r="A95" s="908"/>
      <c r="B95" s="908"/>
      <c r="C95" s="908"/>
      <c r="D95" s="894"/>
      <c r="E95" s="895"/>
      <c r="F95" s="895"/>
      <c r="G95" s="801"/>
      <c r="H95" s="801"/>
      <c r="I95" s="801"/>
    </row>
    <row r="96" spans="1:9" ht="12.75" customHeight="1" x14ac:dyDescent="0.2">
      <c r="A96" s="908"/>
      <c r="B96" s="908"/>
      <c r="C96" s="908"/>
      <c r="D96" s="894"/>
      <c r="E96" s="895"/>
      <c r="F96" s="895"/>
      <c r="G96" s="801"/>
      <c r="H96" s="801"/>
      <c r="I96" s="801"/>
    </row>
    <row r="97" spans="1:9" ht="12.75" customHeight="1" x14ac:dyDescent="0.2">
      <c r="A97" s="908"/>
      <c r="B97" s="908"/>
      <c r="C97" s="908"/>
      <c r="D97" s="894"/>
      <c r="E97" s="895"/>
      <c r="F97" s="895"/>
      <c r="G97" s="801"/>
      <c r="H97" s="801"/>
      <c r="I97" s="801"/>
    </row>
    <row r="98" spans="1:9" ht="12.75" customHeight="1" x14ac:dyDescent="0.2">
      <c r="A98" s="908"/>
      <c r="B98" s="908"/>
      <c r="C98" s="908"/>
      <c r="D98" s="894"/>
      <c r="E98" s="895" t="s">
        <v>462</v>
      </c>
      <c r="F98" s="895"/>
      <c r="G98" s="844" t="s">
        <v>336</v>
      </c>
      <c r="H98" s="844"/>
      <c r="I98" s="844"/>
    </row>
    <row r="99" spans="1:9" ht="12.75" customHeight="1" x14ac:dyDescent="0.2">
      <c r="A99" s="908"/>
      <c r="B99" s="908"/>
      <c r="C99" s="908"/>
      <c r="D99" s="894"/>
      <c r="E99" s="895"/>
      <c r="F99" s="895"/>
      <c r="G99" s="844"/>
      <c r="H99" s="844"/>
      <c r="I99" s="844"/>
    </row>
    <row r="100" spans="1:9" ht="12.75" customHeight="1" x14ac:dyDescent="0.2">
      <c r="A100" s="908"/>
      <c r="B100" s="908"/>
      <c r="C100" s="908"/>
      <c r="D100" s="894"/>
      <c r="E100" s="895" t="s">
        <v>463</v>
      </c>
      <c r="F100" s="895"/>
      <c r="G100" s="801" t="s">
        <v>455</v>
      </c>
      <c r="H100" s="801"/>
      <c r="I100" s="801"/>
    </row>
    <row r="101" spans="1:9" ht="12.75" customHeight="1" x14ac:dyDescent="0.2">
      <c r="A101" s="908"/>
      <c r="B101" s="908"/>
      <c r="C101" s="908"/>
      <c r="D101" s="894"/>
      <c r="E101" s="895"/>
      <c r="F101" s="895"/>
      <c r="G101" s="801"/>
      <c r="H101" s="801"/>
      <c r="I101" s="801"/>
    </row>
    <row r="102" spans="1:9" ht="12.75" customHeight="1" x14ac:dyDescent="0.2">
      <c r="A102" s="908"/>
      <c r="B102" s="908"/>
      <c r="C102" s="908"/>
      <c r="D102" s="894"/>
      <c r="E102" s="895"/>
      <c r="F102" s="895"/>
      <c r="G102" s="801"/>
      <c r="H102" s="801"/>
      <c r="I102" s="801"/>
    </row>
    <row r="103" spans="1:9" ht="12.75" customHeight="1" x14ac:dyDescent="0.2">
      <c r="A103" s="908"/>
      <c r="B103" s="908"/>
      <c r="C103" s="908"/>
      <c r="D103" s="894"/>
      <c r="E103" s="895"/>
      <c r="F103" s="895"/>
      <c r="G103" s="801"/>
      <c r="H103" s="801"/>
      <c r="I103" s="801"/>
    </row>
    <row r="104" spans="1:9" ht="12.75" customHeight="1" x14ac:dyDescent="0.2">
      <c r="A104" s="908"/>
      <c r="B104" s="908"/>
      <c r="C104" s="908"/>
      <c r="D104" s="894"/>
      <c r="E104" s="895"/>
      <c r="F104" s="895"/>
      <c r="G104" s="801"/>
      <c r="H104" s="801"/>
      <c r="I104" s="801"/>
    </row>
    <row r="105" spans="1:9" ht="12.75" customHeight="1" x14ac:dyDescent="0.2">
      <c r="A105" s="908"/>
      <c r="B105" s="908"/>
      <c r="C105" s="908"/>
      <c r="D105" s="894"/>
      <c r="E105" s="895" t="s">
        <v>464</v>
      </c>
      <c r="F105" s="895"/>
      <c r="G105" s="844" t="s">
        <v>336</v>
      </c>
      <c r="H105" s="844"/>
      <c r="I105" s="844"/>
    </row>
    <row r="106" spans="1:9" ht="12.75" customHeight="1" x14ac:dyDescent="0.2">
      <c r="A106" s="908"/>
      <c r="B106" s="908"/>
      <c r="C106" s="908"/>
      <c r="D106" s="894"/>
      <c r="E106" s="895"/>
      <c r="F106" s="895"/>
      <c r="G106" s="844"/>
      <c r="H106" s="844"/>
      <c r="I106" s="844"/>
    </row>
    <row r="107" spans="1:9" ht="12.75" customHeight="1" x14ac:dyDescent="0.2">
      <c r="A107" s="908"/>
      <c r="B107" s="908"/>
      <c r="C107" s="908"/>
      <c r="D107" s="894" t="s">
        <v>465</v>
      </c>
      <c r="E107" s="895" t="s">
        <v>466</v>
      </c>
      <c r="F107" s="895"/>
      <c r="G107" s="801" t="s">
        <v>455</v>
      </c>
      <c r="H107" s="801"/>
      <c r="I107" s="801"/>
    </row>
    <row r="108" spans="1:9" ht="12.75" customHeight="1" x14ac:dyDescent="0.2">
      <c r="A108" s="908"/>
      <c r="B108" s="908"/>
      <c r="C108" s="908"/>
      <c r="D108" s="894"/>
      <c r="E108" s="895"/>
      <c r="F108" s="895"/>
      <c r="G108" s="801"/>
      <c r="H108" s="801"/>
      <c r="I108" s="801"/>
    </row>
    <row r="109" spans="1:9" ht="12.75" customHeight="1" x14ac:dyDescent="0.2">
      <c r="A109" s="908"/>
      <c r="B109" s="908"/>
      <c r="C109" s="908"/>
      <c r="D109" s="894"/>
      <c r="E109" s="895"/>
      <c r="F109" s="895"/>
      <c r="G109" s="801"/>
      <c r="H109" s="801"/>
      <c r="I109" s="801"/>
    </row>
    <row r="110" spans="1:9" ht="12.75" customHeight="1" x14ac:dyDescent="0.2">
      <c r="A110" s="908"/>
      <c r="B110" s="908"/>
      <c r="C110" s="908"/>
      <c r="D110" s="894"/>
      <c r="E110" s="895"/>
      <c r="F110" s="895"/>
      <c r="G110" s="801"/>
      <c r="H110" s="801"/>
      <c r="I110" s="801"/>
    </row>
    <row r="111" spans="1:9" ht="12.75" customHeight="1" x14ac:dyDescent="0.2">
      <c r="A111" s="908"/>
      <c r="B111" s="908"/>
      <c r="C111" s="908"/>
      <c r="D111" s="894"/>
      <c r="E111" s="895"/>
      <c r="F111" s="895"/>
      <c r="G111" s="801"/>
      <c r="H111" s="801"/>
      <c r="I111" s="801"/>
    </row>
    <row r="112" spans="1:9" ht="12.75" customHeight="1" x14ac:dyDescent="0.2">
      <c r="A112" s="908"/>
      <c r="B112" s="908"/>
      <c r="C112" s="908"/>
      <c r="D112" s="894"/>
      <c r="E112" s="895" t="s">
        <v>467</v>
      </c>
      <c r="F112" s="895"/>
      <c r="G112" s="844" t="s">
        <v>336</v>
      </c>
      <c r="H112" s="844"/>
      <c r="I112" s="844"/>
    </row>
    <row r="113" spans="1:9" ht="12.75" customHeight="1" x14ac:dyDescent="0.2">
      <c r="A113" s="908"/>
      <c r="B113" s="908"/>
      <c r="C113" s="908"/>
      <c r="D113" s="894"/>
      <c r="E113" s="895"/>
      <c r="F113" s="895"/>
      <c r="G113" s="844"/>
      <c r="H113" s="844"/>
      <c r="I113" s="844"/>
    </row>
    <row r="114" spans="1:9" ht="12.75" customHeight="1" x14ac:dyDescent="0.2">
      <c r="A114" s="908" t="s">
        <v>453</v>
      </c>
      <c r="B114" s="908" t="s">
        <v>468</v>
      </c>
      <c r="C114" s="908" t="s">
        <v>455</v>
      </c>
      <c r="D114" s="916" t="s">
        <v>456</v>
      </c>
      <c r="E114" s="897" t="s">
        <v>469</v>
      </c>
      <c r="F114" s="897"/>
      <c r="G114" s="909" t="s">
        <v>455</v>
      </c>
      <c r="H114" s="909"/>
      <c r="I114" s="909"/>
    </row>
    <row r="115" spans="1:9" ht="12.75" customHeight="1" x14ac:dyDescent="0.2">
      <c r="A115" s="908"/>
      <c r="B115" s="908"/>
      <c r="C115" s="908"/>
      <c r="D115" s="916"/>
      <c r="E115" s="897"/>
      <c r="F115" s="897"/>
      <c r="G115" s="909"/>
      <c r="H115" s="909"/>
      <c r="I115" s="909"/>
    </row>
    <row r="116" spans="1:9" ht="12.75" customHeight="1" x14ac:dyDescent="0.2">
      <c r="A116" s="908"/>
      <c r="B116" s="908"/>
      <c r="C116" s="908"/>
      <c r="D116" s="916"/>
      <c r="E116" s="897"/>
      <c r="F116" s="897"/>
      <c r="G116" s="909"/>
      <c r="H116" s="909"/>
      <c r="I116" s="909"/>
    </row>
    <row r="117" spans="1:9" ht="12.75" customHeight="1" x14ac:dyDescent="0.2">
      <c r="A117" s="908"/>
      <c r="B117" s="908"/>
      <c r="C117" s="908"/>
      <c r="D117" s="916"/>
      <c r="E117" s="897"/>
      <c r="F117" s="897"/>
      <c r="G117" s="909"/>
      <c r="H117" s="909"/>
      <c r="I117" s="909"/>
    </row>
    <row r="118" spans="1:9" ht="12.75" customHeight="1" x14ac:dyDescent="0.2">
      <c r="A118" s="908"/>
      <c r="B118" s="908"/>
      <c r="C118" s="908"/>
      <c r="D118" s="916"/>
      <c r="E118" s="897"/>
      <c r="F118" s="897"/>
      <c r="G118" s="909"/>
      <c r="H118" s="909"/>
      <c r="I118" s="909"/>
    </row>
  </sheetData>
  <sheetProtection algorithmName="SHA-512" hashValue="3aq5tGTQhE6QykTT83AGRtsBEAuNWAAK2vxJ9Y29O/IVsMrPH/hCgaQ9LZpeQE4MCc+K6TVSUzS8uj6OzkyIRQ==" saltValue="xjXwDVQLzJLTG0g/7FreBg==" spinCount="100000" sheet="1" objects="1" scenarios="1"/>
  <mergeCells count="142">
    <mergeCell ref="A114:A118"/>
    <mergeCell ref="B114:B118"/>
    <mergeCell ref="C114:C118"/>
    <mergeCell ref="D114:D118"/>
    <mergeCell ref="E114:F118"/>
    <mergeCell ref="G114:I118"/>
    <mergeCell ref="E105:F106"/>
    <mergeCell ref="G105:I106"/>
    <mergeCell ref="D107:D113"/>
    <mergeCell ref="E107:F111"/>
    <mergeCell ref="G107:I111"/>
    <mergeCell ref="E112:F113"/>
    <mergeCell ref="G112:I113"/>
    <mergeCell ref="A78:C79"/>
    <mergeCell ref="D78:I79"/>
    <mergeCell ref="A81:I81"/>
    <mergeCell ref="D82:I82"/>
    <mergeCell ref="A83:A113"/>
    <mergeCell ref="B83:B113"/>
    <mergeCell ref="C83:C113"/>
    <mergeCell ref="D83:D87"/>
    <mergeCell ref="E83:F87"/>
    <mergeCell ref="G83:I87"/>
    <mergeCell ref="D88:D92"/>
    <mergeCell ref="E88:F92"/>
    <mergeCell ref="G88:I92"/>
    <mergeCell ref="D93:D106"/>
    <mergeCell ref="E93:F97"/>
    <mergeCell ref="G93:I97"/>
    <mergeCell ref="E98:F99"/>
    <mergeCell ref="G98:I99"/>
    <mergeCell ref="E100:F104"/>
    <mergeCell ref="G100:I104"/>
    <mergeCell ref="A73:C73"/>
    <mergeCell ref="D73:E73"/>
    <mergeCell ref="F73:G73"/>
    <mergeCell ref="H73:I73"/>
    <mergeCell ref="A75:C75"/>
    <mergeCell ref="A76:C77"/>
    <mergeCell ref="D76:I77"/>
    <mergeCell ref="A71:C71"/>
    <mergeCell ref="D71:E71"/>
    <mergeCell ref="F71:G71"/>
    <mergeCell ref="H71:I71"/>
    <mergeCell ref="A72:C72"/>
    <mergeCell ref="D72:E72"/>
    <mergeCell ref="F72:G72"/>
    <mergeCell ref="H72:I72"/>
    <mergeCell ref="D69:E69"/>
    <mergeCell ref="D70:E70"/>
    <mergeCell ref="F70:G70"/>
    <mergeCell ref="H70:I70"/>
    <mergeCell ref="G60:G63"/>
    <mergeCell ref="H60:H63"/>
    <mergeCell ref="I60:I63"/>
    <mergeCell ref="A64:I64"/>
    <mergeCell ref="A65:A68"/>
    <mergeCell ref="B65:B68"/>
    <mergeCell ref="C65:C68"/>
    <mergeCell ref="D65:D68"/>
    <mergeCell ref="E65:E68"/>
    <mergeCell ref="F65:F68"/>
    <mergeCell ref="A59:I59"/>
    <mergeCell ref="A60:A63"/>
    <mergeCell ref="B60:B63"/>
    <mergeCell ref="C60:C63"/>
    <mergeCell ref="D60:D63"/>
    <mergeCell ref="E60:E63"/>
    <mergeCell ref="F60:F63"/>
    <mergeCell ref="G65:G68"/>
    <mergeCell ref="H65:H68"/>
    <mergeCell ref="I65:I68"/>
    <mergeCell ref="A54:I54"/>
    <mergeCell ref="A55:A58"/>
    <mergeCell ref="B55:B58"/>
    <mergeCell ref="C55:C58"/>
    <mergeCell ref="D55:D58"/>
    <mergeCell ref="E55:E58"/>
    <mergeCell ref="F55:F58"/>
    <mergeCell ref="G55:G58"/>
    <mergeCell ref="H55:H58"/>
    <mergeCell ref="I55:I58"/>
    <mergeCell ref="A47:C49"/>
    <mergeCell ref="D47:E49"/>
    <mergeCell ref="F47:G49"/>
    <mergeCell ref="H47:I49"/>
    <mergeCell ref="A51:A53"/>
    <mergeCell ref="B51:B53"/>
    <mergeCell ref="C51:C53"/>
    <mergeCell ref="D51:D53"/>
    <mergeCell ref="E51:E53"/>
    <mergeCell ref="F51:F53"/>
    <mergeCell ref="G51:G53"/>
    <mergeCell ref="H51:H53"/>
    <mergeCell ref="I51:I53"/>
    <mergeCell ref="A44:C44"/>
    <mergeCell ref="D44:E44"/>
    <mergeCell ref="F44:G44"/>
    <mergeCell ref="H44:I44"/>
    <mergeCell ref="A45:C46"/>
    <mergeCell ref="D45:E46"/>
    <mergeCell ref="F45:G46"/>
    <mergeCell ref="H45:I46"/>
    <mergeCell ref="A34:C42"/>
    <mergeCell ref="D34:E42"/>
    <mergeCell ref="A43:C43"/>
    <mergeCell ref="D43:E43"/>
    <mergeCell ref="F43:G43"/>
    <mergeCell ref="H43:I43"/>
    <mergeCell ref="A29:C30"/>
    <mergeCell ref="D29:I30"/>
    <mergeCell ref="D32:E32"/>
    <mergeCell ref="F32:G32"/>
    <mergeCell ref="H32:I32"/>
    <mergeCell ref="A33:C33"/>
    <mergeCell ref="D33:E33"/>
    <mergeCell ref="F33:G33"/>
    <mergeCell ref="H33:I33"/>
    <mergeCell ref="A26:C26"/>
    <mergeCell ref="D26:I26"/>
    <mergeCell ref="A27:C27"/>
    <mergeCell ref="D27:I27"/>
    <mergeCell ref="A28:C28"/>
    <mergeCell ref="D28:I28"/>
    <mergeCell ref="A23:C23"/>
    <mergeCell ref="D23:I23"/>
    <mergeCell ref="A24:C24"/>
    <mergeCell ref="D24:I24"/>
    <mergeCell ref="A25:C25"/>
    <mergeCell ref="D25:I25"/>
    <mergeCell ref="A11:C15"/>
    <mergeCell ref="D11:I15"/>
    <mergeCell ref="A17:C21"/>
    <mergeCell ref="D17:I21"/>
    <mergeCell ref="A22:C22"/>
    <mergeCell ref="D22:I22"/>
    <mergeCell ref="A8:C8"/>
    <mergeCell ref="D8:I8"/>
    <mergeCell ref="A9:C9"/>
    <mergeCell ref="D9:I9"/>
    <mergeCell ref="A10:C10"/>
    <mergeCell ref="D10:I10"/>
  </mergeCells>
  <conditionalFormatting sqref="G112">
    <cfRule type="containsText" dxfId="128" priority="7" operator="containsText" text="Yes">
      <formula>NOT(ISERROR(SEARCH("Yes",G112)))</formula>
    </cfRule>
    <cfRule type="containsText" dxfId="127" priority="8" operator="containsText" text="No">
      <formula>NOT(ISERROR(SEARCH("No",G112)))</formula>
    </cfRule>
    <cfRule type="containsText" dxfId="126" priority="9" operator="containsText" text="N/A">
      <formula>NOT(ISERROR(SEARCH("N/A",G112)))</formula>
    </cfRule>
  </conditionalFormatting>
  <conditionalFormatting sqref="G105">
    <cfRule type="containsText" dxfId="125" priority="4" operator="containsText" text="Yes">
      <formula>NOT(ISERROR(SEARCH("Yes",G105)))</formula>
    </cfRule>
    <cfRule type="containsText" dxfId="124" priority="5" operator="containsText" text="No">
      <formula>NOT(ISERROR(SEARCH("No",G105)))</formula>
    </cfRule>
    <cfRule type="containsText" dxfId="123" priority="6" operator="containsText" text="N/A">
      <formula>NOT(ISERROR(SEARCH("N/A",G105)))</formula>
    </cfRule>
  </conditionalFormatting>
  <conditionalFormatting sqref="G98">
    <cfRule type="containsText" dxfId="122" priority="1" operator="containsText" text="Yes">
      <formula>NOT(ISERROR(SEARCH("Yes",G98)))</formula>
    </cfRule>
    <cfRule type="containsText" dxfId="121" priority="2" operator="containsText" text="No">
      <formula>NOT(ISERROR(SEARCH("No",G98)))</formula>
    </cfRule>
    <cfRule type="containsText" dxfId="120" priority="3" operator="containsText" text="N/A">
      <formula>NOT(ISERROR(SEARCH("N/A",G98)))</formula>
    </cfRule>
  </conditionalFormatting>
  <pageMargins left="0.7" right="0.7" top="0.75" bottom="0.75" header="0.3" footer="0.3"/>
  <pageSetup scale="50" fitToHeight="0" orientation="landscape" r:id="rId1"/>
  <drawing r:id="rId2"/>
  <legacyDrawing r:id="rId3"/>
  <controls>
    <mc:AlternateContent xmlns:mc="http://schemas.openxmlformats.org/markup-compatibility/2006">
      <mc:Choice Requires="x14">
        <control shapeId="4101"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4101" r:id="rId4" name="backMenuBtn"/>
      </mc:Fallback>
    </mc:AlternateContent>
    <mc:AlternateContent xmlns:mc="http://schemas.openxmlformats.org/markup-compatibility/2006">
      <mc:Choice Requires="x14">
        <control shapeId="4102" r:id="rId6" name="CommandButton1">
          <controlPr defaultSize="0" autoLine="0" r:id="rId7">
            <anchor moveWithCells="1">
              <from>
                <xdr:col>1</xdr:col>
                <xdr:colOff>1343025</xdr:colOff>
                <xdr:row>0</xdr:row>
                <xdr:rowOff>0</xdr:rowOff>
              </from>
              <to>
                <xdr:col>2</xdr:col>
                <xdr:colOff>1171575</xdr:colOff>
                <xdr:row>1</xdr:row>
                <xdr:rowOff>114300</xdr:rowOff>
              </to>
            </anchor>
          </controlPr>
        </control>
      </mc:Choice>
      <mc:Fallback>
        <control shapeId="4102" r:id="rId6" name="CommandButton1"/>
      </mc:Fallback>
    </mc:AlternateContent>
    <mc:AlternateContent xmlns:mc="http://schemas.openxmlformats.org/markup-compatibility/2006">
      <mc:Choice Requires="x14">
        <control shapeId="4103" r:id="rId8" name="CommandButton2">
          <controlPr defaultSize="0" autoLine="0" r:id="rId9">
            <anchor moveWithCells="1">
              <from>
                <xdr:col>1</xdr:col>
                <xdr:colOff>9525</xdr:colOff>
                <xdr:row>0</xdr:row>
                <xdr:rowOff>9525</xdr:rowOff>
              </from>
              <to>
                <xdr:col>1</xdr:col>
                <xdr:colOff>1209675</xdr:colOff>
                <xdr:row>1</xdr:row>
                <xdr:rowOff>123825</xdr:rowOff>
              </to>
            </anchor>
          </controlPr>
        </control>
      </mc:Choice>
      <mc:Fallback>
        <control shapeId="4103"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Dropdown!$H$2:$H$13</xm:f>
          </x14:formula1>
          <xm:sqref>D47:I49 D73:I73</xm:sqref>
        </x14:dataValidation>
        <x14:dataValidation type="list" allowBlank="1" showInputMessage="1" showErrorMessage="1">
          <x14:formula1>
            <xm:f>Dropdown!$I$2:$I$5</xm:f>
          </x14:formula1>
          <xm:sqref>G112:I113 G105:I106 G98:I99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B050"/>
    <pageSetUpPr fitToPage="1"/>
  </sheetPr>
  <dimension ref="A1:I120"/>
  <sheetViews>
    <sheetView showGridLines="0" zoomScale="75" zoomScaleNormal="75" zoomScalePageLayoutView="60" workbookViewId="0">
      <pane xSplit="2" ySplit="14" topLeftCell="C15" activePane="bottomRight" state="frozen"/>
      <selection activeCell="C156" sqref="C156"/>
      <selection pane="topRight" activeCell="C156" sqref="C156"/>
      <selection pane="bottomLeft" activeCell="C156" sqref="C156"/>
      <selection pane="bottomRight" activeCell="C156" sqref="C156"/>
    </sheetView>
  </sheetViews>
  <sheetFormatPr defaultColWidth="9.140625" defaultRowHeight="12.75" customHeight="1" outlineLevelRow="1" x14ac:dyDescent="0.2"/>
  <cols>
    <col min="1" max="8" width="30.5703125" style="267" customWidth="1"/>
    <col min="9" max="9" width="1.5703125" style="267" customWidth="1"/>
    <col min="10" max="16384" width="9.140625" style="267"/>
  </cols>
  <sheetData>
    <row r="1" spans="1:8" ht="12.75" customHeight="1" x14ac:dyDescent="0.2">
      <c r="A1" s="267" t="s">
        <v>765</v>
      </c>
    </row>
    <row r="3" spans="1:8" ht="12.75" customHeight="1" outlineLevel="1" x14ac:dyDescent="0.2">
      <c r="A3" s="225" t="str">
        <f>Narrative!A3</f>
        <v>ViewRay</v>
      </c>
    </row>
    <row r="4" spans="1:8" ht="12.75" customHeight="1" outlineLevel="1" x14ac:dyDescent="0.2">
      <c r="A4" s="228" t="s">
        <v>394</v>
      </c>
    </row>
    <row r="5" spans="1:8" ht="12.75" customHeight="1" outlineLevel="1" x14ac:dyDescent="0.2">
      <c r="A5" s="225" t="str">
        <f>Narrative!A5</f>
        <v>Financial Close and Reporting (FCR)</v>
      </c>
    </row>
    <row r="6" spans="1:8" ht="12.75" customHeight="1" outlineLevel="1" x14ac:dyDescent="0.2">
      <c r="A6" s="225" t="str">
        <f>Narrative!A6</f>
        <v>FY 2019</v>
      </c>
    </row>
    <row r="7" spans="1:8" ht="12.75" customHeight="1" outlineLevel="1" x14ac:dyDescent="0.2">
      <c r="A7" s="311"/>
      <c r="B7" s="311"/>
      <c r="C7" s="312"/>
      <c r="D7" s="312"/>
      <c r="E7" s="312"/>
      <c r="F7" s="312"/>
      <c r="G7" s="312"/>
      <c r="H7" s="313"/>
    </row>
    <row r="8" spans="1:8" ht="12.75" customHeight="1" x14ac:dyDescent="0.2">
      <c r="A8" s="938" t="s">
        <v>395</v>
      </c>
      <c r="B8" s="939"/>
      <c r="C8" s="935" t="str">
        <f>RCM!A13</f>
        <v>FCR</v>
      </c>
      <c r="D8" s="936"/>
      <c r="E8" s="936"/>
      <c r="F8" s="936"/>
      <c r="G8" s="936"/>
      <c r="H8" s="937"/>
    </row>
    <row r="9" spans="1:8" ht="12.75" customHeight="1" x14ac:dyDescent="0.2">
      <c r="A9" s="931" t="s">
        <v>396</v>
      </c>
      <c r="B9" s="940"/>
      <c r="C9" s="935" t="str">
        <f>VLOOKUP($C$10,RCM!J:X,4,0)</f>
        <v>Senior Manager, SEC &amp; SOX</v>
      </c>
      <c r="D9" s="936"/>
      <c r="E9" s="936"/>
      <c r="F9" s="936"/>
      <c r="G9" s="936"/>
      <c r="H9" s="937"/>
    </row>
    <row r="10" spans="1:8" ht="12.75" customHeight="1" x14ac:dyDescent="0.2">
      <c r="A10" s="921" t="s">
        <v>397</v>
      </c>
      <c r="B10" s="941"/>
      <c r="C10" s="935" t="str">
        <f>RCM!J26</f>
        <v>FCR 6.04</v>
      </c>
      <c r="D10" s="936"/>
      <c r="E10" s="936"/>
      <c r="F10" s="936"/>
      <c r="G10" s="936"/>
      <c r="H10" s="937"/>
    </row>
    <row r="11" spans="1:8" ht="12.75" customHeight="1" x14ac:dyDescent="0.2">
      <c r="A11" s="921" t="s">
        <v>398</v>
      </c>
      <c r="B11" s="921"/>
      <c r="C11" s="922" t="str">
        <f>VLOOKUP($C$10,RCM!J:X,2,0)</f>
        <v>Before preparing the quarter end 10Q schedules, the Senior Analyst SEC &amp; SOX or Senior Manager, SEC &amp; SOX, who does not have access to either post journal entries or re-open accounting periods, validates the beginning balance to ensure no unauthorized changes were made to the prior period's financials data.  The ending balance of prior quarter in the prior 10Q file is compared to the beginning per QAD.  Any differences are followed up on.  The review is evidenced by sign off and date of the tab containing the tie out.</v>
      </c>
      <c r="D11" s="923"/>
      <c r="E11" s="923"/>
      <c r="F11" s="923"/>
      <c r="G11" s="923"/>
      <c r="H11" s="924"/>
    </row>
    <row r="12" spans="1:8" ht="12.75" customHeight="1" x14ac:dyDescent="0.2">
      <c r="A12" s="921"/>
      <c r="B12" s="921"/>
      <c r="C12" s="925"/>
      <c r="D12" s="926"/>
      <c r="E12" s="926"/>
      <c r="F12" s="926"/>
      <c r="G12" s="926"/>
      <c r="H12" s="927"/>
    </row>
    <row r="13" spans="1:8" ht="12.75" customHeight="1" x14ac:dyDescent="0.2">
      <c r="A13" s="921"/>
      <c r="B13" s="921"/>
      <c r="C13" s="925"/>
      <c r="D13" s="926"/>
      <c r="E13" s="926"/>
      <c r="F13" s="926"/>
      <c r="G13" s="926"/>
      <c r="H13" s="927"/>
    </row>
    <row r="14" spans="1:8" ht="12.75" customHeight="1" x14ac:dyDescent="0.2">
      <c r="A14" s="921"/>
      <c r="B14" s="921"/>
      <c r="C14" s="928" t="e">
        <v>#N/A</v>
      </c>
      <c r="D14" s="929"/>
      <c r="E14" s="929"/>
      <c r="F14" s="929"/>
      <c r="G14" s="929"/>
      <c r="H14" s="930"/>
    </row>
    <row r="15" spans="1:8" ht="12.75" customHeight="1" x14ac:dyDescent="0.2">
      <c r="A15" s="314"/>
      <c r="B15" s="315"/>
      <c r="C15" s="316"/>
      <c r="D15" s="316"/>
      <c r="E15" s="316"/>
      <c r="F15" s="316"/>
      <c r="G15" s="316"/>
      <c r="H15" s="313"/>
    </row>
    <row r="16" spans="1:8" ht="12.75" customHeight="1" x14ac:dyDescent="0.2">
      <c r="A16" s="931" t="s">
        <v>399</v>
      </c>
      <c r="B16" s="931"/>
      <c r="C16" s="787" t="str">
        <f>VLOOKUP($C$10,RCM!J:X,12,0)</f>
        <v>1. Obtain the10Q/10K schedule workbook, containing the validation of the beginning balance
2.  Ascertain the beginning balance agrees to the prior 10Q or 10K
3. Review the prior period's schedule to ensure the tie out was performed.
4.  Validate there was no changes made to the prior periods financial data
5. Ensure sign off by the Senior Manager SEC &amp; SOX</v>
      </c>
      <c r="D16" s="788"/>
      <c r="E16" s="788"/>
      <c r="F16" s="788"/>
      <c r="G16" s="788"/>
      <c r="H16" s="789"/>
    </row>
    <row r="17" spans="1:8" ht="12.75" customHeight="1" x14ac:dyDescent="0.2">
      <c r="A17" s="931"/>
      <c r="B17" s="931"/>
      <c r="C17" s="932"/>
      <c r="D17" s="933"/>
      <c r="E17" s="933"/>
      <c r="F17" s="933"/>
      <c r="G17" s="933"/>
      <c r="H17" s="934"/>
    </row>
    <row r="18" spans="1:8" ht="12.75" customHeight="1" x14ac:dyDescent="0.2">
      <c r="A18" s="931"/>
      <c r="B18" s="931"/>
      <c r="C18" s="932"/>
      <c r="D18" s="933"/>
      <c r="E18" s="933"/>
      <c r="F18" s="933"/>
      <c r="G18" s="933"/>
      <c r="H18" s="934"/>
    </row>
    <row r="19" spans="1:8" ht="12.75" customHeight="1" x14ac:dyDescent="0.2">
      <c r="A19" s="931"/>
      <c r="B19" s="931"/>
      <c r="C19" s="932"/>
      <c r="D19" s="933"/>
      <c r="E19" s="933"/>
      <c r="F19" s="933"/>
      <c r="G19" s="933"/>
      <c r="H19" s="934"/>
    </row>
    <row r="20" spans="1:8" ht="12.75" customHeight="1" x14ac:dyDescent="0.2">
      <c r="A20" s="931"/>
      <c r="B20" s="931"/>
      <c r="C20" s="932"/>
      <c r="D20" s="933"/>
      <c r="E20" s="933"/>
      <c r="F20" s="933"/>
      <c r="G20" s="933"/>
      <c r="H20" s="934"/>
    </row>
    <row r="21" spans="1:8" ht="12.75" customHeight="1" x14ac:dyDescent="0.2">
      <c r="A21" s="931"/>
      <c r="B21" s="931"/>
      <c r="C21" s="790" t="e">
        <v>#N/A</v>
      </c>
      <c r="D21" s="791"/>
      <c r="E21" s="791"/>
      <c r="F21" s="791"/>
      <c r="G21" s="791"/>
      <c r="H21" s="792"/>
    </row>
    <row r="22" spans="1:8" ht="12.75" customHeight="1" x14ac:dyDescent="0.2">
      <c r="A22" s="931" t="s">
        <v>400</v>
      </c>
      <c r="B22" s="931"/>
      <c r="C22" s="935" t="str">
        <f>VLOOKUP($C$10,RCM!J:X,8,0)</f>
        <v>Inspection</v>
      </c>
      <c r="D22" s="936"/>
      <c r="E22" s="936"/>
      <c r="F22" s="936"/>
      <c r="G22" s="936"/>
      <c r="H22" s="937"/>
    </row>
    <row r="23" spans="1:8" ht="12.75" customHeight="1" x14ac:dyDescent="0.2">
      <c r="A23" s="931" t="s">
        <v>401</v>
      </c>
      <c r="B23" s="940"/>
      <c r="C23" s="935" t="str">
        <f>VLOOKUP($C$10,RCM!J:X,5,0)</f>
        <v>Quarterly</v>
      </c>
      <c r="D23" s="936"/>
      <c r="E23" s="936"/>
      <c r="F23" s="936"/>
      <c r="G23" s="936"/>
      <c r="H23" s="937"/>
    </row>
    <row r="24" spans="1:8" ht="12.75" customHeight="1" x14ac:dyDescent="0.2">
      <c r="A24" s="931" t="s">
        <v>402</v>
      </c>
      <c r="B24" s="940"/>
      <c r="C24" s="935" t="str">
        <f>VLOOKUP($C$10,RCM!J:X,3,0)</f>
        <v>Q1 2019</v>
      </c>
      <c r="D24" s="936"/>
      <c r="E24" s="936"/>
      <c r="F24" s="936"/>
      <c r="G24" s="936"/>
      <c r="H24" s="937"/>
    </row>
    <row r="25" spans="1:8" s="275" customFormat="1" ht="12.75" customHeight="1" x14ac:dyDescent="0.2">
      <c r="A25" s="931" t="s">
        <v>403</v>
      </c>
      <c r="B25" s="940"/>
      <c r="C25" s="935" t="str">
        <f>VLOOKUP($C$10,RCM!J:X,10,0)</f>
        <v xml:space="preserve">Medium </v>
      </c>
      <c r="D25" s="936"/>
      <c r="E25" s="936"/>
      <c r="F25" s="936"/>
      <c r="G25" s="936"/>
      <c r="H25" s="937"/>
    </row>
    <row r="26" spans="1:8" ht="12.75" customHeight="1" x14ac:dyDescent="0.2">
      <c r="A26" s="931" t="s">
        <v>404</v>
      </c>
      <c r="B26" s="940"/>
      <c r="C26" s="477" t="str">
        <f>RCM!$AB$3</f>
        <v>1/1/19 - 6/30/19</v>
      </c>
      <c r="D26" s="478"/>
      <c r="E26" s="478"/>
      <c r="F26" s="478"/>
      <c r="G26" s="478"/>
      <c r="H26" s="479"/>
    </row>
    <row r="27" spans="1:8" ht="12.75" customHeight="1" x14ac:dyDescent="0.2">
      <c r="A27" s="931" t="s">
        <v>405</v>
      </c>
      <c r="B27" s="940"/>
      <c r="C27" s="706">
        <f>VLOOKUP(C$10,RCM!$J$9:$AG$29,20,0)</f>
        <v>4</v>
      </c>
      <c r="D27" s="707"/>
      <c r="E27" s="707"/>
      <c r="F27" s="707"/>
      <c r="G27" s="707"/>
      <c r="H27" s="708"/>
    </row>
    <row r="28" spans="1:8" ht="12.75" customHeight="1" x14ac:dyDescent="0.2">
      <c r="A28" s="931" t="s">
        <v>406</v>
      </c>
      <c r="B28" s="940"/>
      <c r="C28" s="483" t="str">
        <f>RCM!$AB$5&amp;" "&amp;VLOOKUP(C$10,RCM!$J$9:$AG$29,21,0)&amp;" "&amp;RCM!$AB$6</f>
        <v>Annual sample size: 2 (See sample size derivation below)</v>
      </c>
      <c r="D28" s="484"/>
      <c r="E28" s="484"/>
      <c r="F28" s="484"/>
      <c r="G28" s="484"/>
      <c r="H28" s="485"/>
    </row>
    <row r="29" spans="1:8" ht="12.75" customHeight="1" x14ac:dyDescent="0.2">
      <c r="A29" s="942" t="s">
        <v>407</v>
      </c>
      <c r="B29" s="943"/>
      <c r="C29" s="460" t="s">
        <v>552</v>
      </c>
      <c r="D29" s="461"/>
      <c r="E29" s="461"/>
      <c r="F29" s="461"/>
      <c r="G29" s="461"/>
      <c r="H29" s="462"/>
    </row>
    <row r="30" spans="1:8" s="275" customFormat="1" ht="12.75" customHeight="1" x14ac:dyDescent="0.2">
      <c r="A30" s="944"/>
      <c r="B30" s="945"/>
      <c r="C30" s="463"/>
      <c r="D30" s="464"/>
      <c r="E30" s="464"/>
      <c r="F30" s="464"/>
      <c r="G30" s="464"/>
      <c r="H30" s="465"/>
    </row>
    <row r="31" spans="1:8" ht="12.75" customHeight="1" x14ac:dyDescent="0.2">
      <c r="A31" s="317"/>
      <c r="B31" s="317"/>
      <c r="C31" s="318"/>
      <c r="D31" s="318"/>
      <c r="E31" s="318"/>
      <c r="F31" s="318"/>
      <c r="G31" s="318"/>
      <c r="H31" s="318"/>
    </row>
    <row r="32" spans="1:8" ht="12.75" customHeight="1" x14ac:dyDescent="0.2">
      <c r="A32" s="279"/>
      <c r="B32" s="279"/>
      <c r="C32" s="504" t="s">
        <v>409</v>
      </c>
      <c r="D32" s="505"/>
      <c r="E32" s="506" t="s">
        <v>410</v>
      </c>
      <c r="F32" s="507"/>
      <c r="G32" s="506" t="s">
        <v>411</v>
      </c>
      <c r="H32" s="507"/>
    </row>
    <row r="33" spans="1:9" ht="12.75" customHeight="1" x14ac:dyDescent="0.2">
      <c r="A33" s="508" t="s">
        <v>412</v>
      </c>
      <c r="B33" s="509"/>
      <c r="C33" s="898">
        <f>VLOOKUP($C$10,RCM!$J$9:$AG$29,22,0)</f>
        <v>1</v>
      </c>
      <c r="D33" s="511"/>
      <c r="E33" s="899">
        <f>VLOOKUP($C$10,RCM!$J$9:$AG$29,23,0)</f>
        <v>0</v>
      </c>
      <c r="F33" s="899"/>
      <c r="G33" s="899">
        <f>VLOOKUP($C$10,RCM!$J$9:$AG$29,24,0)</f>
        <v>1</v>
      </c>
      <c r="H33" s="899"/>
    </row>
    <row r="34" spans="1:9" ht="12.75" customHeight="1" outlineLevel="1" x14ac:dyDescent="0.2">
      <c r="A34" s="523" t="s">
        <v>413</v>
      </c>
      <c r="B34" s="948"/>
      <c r="C34" s="529" t="s">
        <v>682</v>
      </c>
      <c r="D34" s="535"/>
      <c r="E34" s="951"/>
      <c r="F34" s="952"/>
      <c r="G34" s="721"/>
      <c r="H34" s="716"/>
    </row>
    <row r="35" spans="1:9" ht="12.75" customHeight="1" outlineLevel="1" x14ac:dyDescent="0.2">
      <c r="A35" s="525"/>
      <c r="B35" s="949"/>
      <c r="C35" s="536"/>
      <c r="D35" s="537"/>
      <c r="E35" s="953"/>
      <c r="F35" s="954"/>
      <c r="G35" s="717"/>
      <c r="H35" s="718"/>
    </row>
    <row r="36" spans="1:9" ht="12.75" customHeight="1" outlineLevel="1" x14ac:dyDescent="0.2">
      <c r="A36" s="525"/>
      <c r="B36" s="949"/>
      <c r="C36" s="536"/>
      <c r="D36" s="537"/>
      <c r="E36" s="953"/>
      <c r="F36" s="954"/>
      <c r="G36" s="717"/>
      <c r="H36" s="718"/>
    </row>
    <row r="37" spans="1:9" ht="12.75" customHeight="1" outlineLevel="1" x14ac:dyDescent="0.2">
      <c r="A37" s="525"/>
      <c r="B37" s="949"/>
      <c r="C37" s="536"/>
      <c r="D37" s="537"/>
      <c r="E37" s="953"/>
      <c r="F37" s="954"/>
      <c r="G37" s="717"/>
      <c r="H37" s="718"/>
    </row>
    <row r="38" spans="1:9" ht="12.75" customHeight="1" outlineLevel="1" x14ac:dyDescent="0.2">
      <c r="A38" s="525"/>
      <c r="B38" s="949"/>
      <c r="C38" s="536"/>
      <c r="D38" s="537"/>
      <c r="E38" s="953"/>
      <c r="F38" s="954"/>
      <c r="G38" s="717"/>
      <c r="H38" s="718"/>
    </row>
    <row r="39" spans="1:9" ht="12.75" customHeight="1" outlineLevel="1" x14ac:dyDescent="0.2">
      <c r="A39" s="525"/>
      <c r="B39" s="949"/>
      <c r="C39" s="536"/>
      <c r="D39" s="537"/>
      <c r="E39" s="953"/>
      <c r="F39" s="954"/>
      <c r="G39" s="717"/>
      <c r="H39" s="718"/>
    </row>
    <row r="40" spans="1:9" ht="12.75" customHeight="1" outlineLevel="1" x14ac:dyDescent="0.2">
      <c r="A40" s="525"/>
      <c r="B40" s="949"/>
      <c r="C40" s="536"/>
      <c r="D40" s="537"/>
      <c r="E40" s="953"/>
      <c r="F40" s="954"/>
      <c r="G40" s="717"/>
      <c r="H40" s="718"/>
    </row>
    <row r="41" spans="1:9" ht="12.75" customHeight="1" outlineLevel="1" x14ac:dyDescent="0.2">
      <c r="A41" s="525"/>
      <c r="B41" s="949"/>
      <c r="C41" s="536"/>
      <c r="D41" s="537"/>
      <c r="E41" s="953"/>
      <c r="F41" s="954"/>
      <c r="G41" s="717"/>
      <c r="H41" s="718"/>
    </row>
    <row r="42" spans="1:9" ht="12.75" customHeight="1" outlineLevel="1" x14ac:dyDescent="0.2">
      <c r="A42" s="525"/>
      <c r="B42" s="949"/>
      <c r="C42" s="536"/>
      <c r="D42" s="537"/>
      <c r="E42" s="953"/>
      <c r="F42" s="954"/>
      <c r="G42" s="717"/>
      <c r="H42" s="718"/>
    </row>
    <row r="43" spans="1:9" ht="12.75" customHeight="1" outlineLevel="1" x14ac:dyDescent="0.2">
      <c r="A43" s="527"/>
      <c r="B43" s="950"/>
      <c r="C43" s="538"/>
      <c r="D43" s="539"/>
      <c r="E43" s="955"/>
      <c r="F43" s="956"/>
      <c r="G43" s="719"/>
      <c r="H43" s="720"/>
    </row>
    <row r="44" spans="1:9" ht="12.75" customHeight="1" x14ac:dyDescent="0.2">
      <c r="A44" s="512" t="s">
        <v>415</v>
      </c>
      <c r="B44" s="513"/>
      <c r="C44" s="957" t="s">
        <v>416</v>
      </c>
      <c r="D44" s="958"/>
      <c r="E44" s="540"/>
      <c r="F44" s="541"/>
      <c r="G44" s="540"/>
      <c r="H44" s="541"/>
    </row>
    <row r="45" spans="1:9" ht="12.75" customHeight="1" x14ac:dyDescent="0.2">
      <c r="A45" s="512" t="s">
        <v>417</v>
      </c>
      <c r="B45" s="513"/>
      <c r="C45" s="946">
        <v>43642</v>
      </c>
      <c r="D45" s="947"/>
      <c r="E45" s="540"/>
      <c r="F45" s="541"/>
      <c r="G45" s="946"/>
      <c r="H45" s="947"/>
    </row>
    <row r="46" spans="1:9" ht="12.75" customHeight="1" x14ac:dyDescent="0.2">
      <c r="A46" s="795" t="s">
        <v>418</v>
      </c>
      <c r="B46" s="795"/>
      <c r="C46" s="515" t="str">
        <f>VLOOKUP(C$10,'WT (WT)'!$A$8:$K$24,11,0)</f>
        <v>Effective</v>
      </c>
      <c r="D46" s="516"/>
      <c r="E46" s="515"/>
      <c r="F46" s="516"/>
      <c r="G46" s="519"/>
      <c r="H46" s="520"/>
    </row>
    <row r="47" spans="1:9" ht="12.75" customHeight="1" x14ac:dyDescent="0.2">
      <c r="A47" s="795"/>
      <c r="B47" s="795"/>
      <c r="C47" s="517"/>
      <c r="D47" s="518"/>
      <c r="E47" s="517"/>
      <c r="F47" s="518"/>
      <c r="G47" s="521"/>
      <c r="H47" s="522"/>
      <c r="I47" s="313"/>
    </row>
    <row r="48" spans="1:9" ht="12.75" customHeight="1" x14ac:dyDescent="0.2">
      <c r="A48" s="795" t="s">
        <v>419</v>
      </c>
      <c r="B48" s="795"/>
      <c r="C48" s="519" t="s">
        <v>330</v>
      </c>
      <c r="D48" s="520"/>
      <c r="E48" s="519"/>
      <c r="F48" s="520"/>
      <c r="G48" s="519"/>
      <c r="H48" s="520"/>
      <c r="I48" s="313"/>
    </row>
    <row r="49" spans="1:9" ht="12.75" customHeight="1" x14ac:dyDescent="0.2">
      <c r="A49" s="795"/>
      <c r="B49" s="795"/>
      <c r="C49" s="542"/>
      <c r="D49" s="543"/>
      <c r="E49" s="542"/>
      <c r="F49" s="543"/>
      <c r="G49" s="542"/>
      <c r="H49" s="543"/>
      <c r="I49" s="313"/>
    </row>
    <row r="50" spans="1:9" ht="12.75" customHeight="1" x14ac:dyDescent="0.2">
      <c r="A50" s="795"/>
      <c r="B50" s="795"/>
      <c r="C50" s="521"/>
      <c r="D50" s="522"/>
      <c r="E50" s="521"/>
      <c r="F50" s="522"/>
      <c r="G50" s="521"/>
      <c r="H50" s="522"/>
      <c r="I50" s="313"/>
    </row>
    <row r="51" spans="1:9" ht="12.75" customHeight="1" x14ac:dyDescent="0.2">
      <c r="A51" s="319"/>
      <c r="B51" s="319"/>
      <c r="C51" s="313"/>
      <c r="D51" s="313"/>
      <c r="E51" s="313"/>
      <c r="F51" s="313"/>
      <c r="G51" s="320"/>
      <c r="H51" s="313"/>
      <c r="I51" s="313"/>
    </row>
    <row r="52" spans="1:9" ht="12.75" customHeight="1" x14ac:dyDescent="0.2">
      <c r="A52" s="544" t="s">
        <v>420</v>
      </c>
      <c r="B52" s="544" t="s">
        <v>677</v>
      </c>
      <c r="C52" s="544" t="s">
        <v>683</v>
      </c>
      <c r="D52" s="544" t="s">
        <v>684</v>
      </c>
      <c r="E52" s="544" t="s">
        <v>685</v>
      </c>
      <c r="F52" s="544" t="s">
        <v>686</v>
      </c>
      <c r="G52" s="544" t="s">
        <v>687</v>
      </c>
      <c r="H52" s="544" t="s">
        <v>542</v>
      </c>
      <c r="I52" s="313"/>
    </row>
    <row r="53" spans="1:9" ht="12.75" customHeight="1" x14ac:dyDescent="0.2">
      <c r="A53" s="544"/>
      <c r="B53" s="544"/>
      <c r="C53" s="544"/>
      <c r="D53" s="544"/>
      <c r="E53" s="544"/>
      <c r="F53" s="544"/>
      <c r="G53" s="544"/>
      <c r="H53" s="544"/>
      <c r="I53" s="313"/>
    </row>
    <row r="54" spans="1:9" ht="12.75" customHeight="1" x14ac:dyDescent="0.2">
      <c r="A54" s="544"/>
      <c r="B54" s="544"/>
      <c r="C54" s="544"/>
      <c r="D54" s="544"/>
      <c r="E54" s="544"/>
      <c r="F54" s="544"/>
      <c r="G54" s="544"/>
      <c r="H54" s="544"/>
      <c r="I54" s="313"/>
    </row>
    <row r="55" spans="1:9" ht="12.75" customHeight="1" x14ac:dyDescent="0.2">
      <c r="A55" s="544"/>
      <c r="B55" s="544"/>
      <c r="C55" s="544"/>
      <c r="D55" s="544"/>
      <c r="E55" s="544"/>
      <c r="F55" s="544"/>
      <c r="G55" s="544"/>
      <c r="H55" s="544"/>
      <c r="I55" s="313"/>
    </row>
    <row r="56" spans="1:9" ht="12.75" customHeight="1" x14ac:dyDescent="0.2">
      <c r="A56" s="959" t="s">
        <v>428</v>
      </c>
      <c r="B56" s="959"/>
      <c r="C56" s="959"/>
      <c r="D56" s="959"/>
      <c r="E56" s="959"/>
      <c r="F56" s="959"/>
      <c r="G56" s="959"/>
      <c r="H56" s="959"/>
      <c r="I56" s="313"/>
    </row>
    <row r="57" spans="1:9" ht="12.75" customHeight="1" outlineLevel="1" x14ac:dyDescent="0.2">
      <c r="A57" s="960">
        <v>1</v>
      </c>
      <c r="B57" s="961" t="s">
        <v>663</v>
      </c>
      <c r="C57" s="960" t="s">
        <v>279</v>
      </c>
      <c r="D57" s="962" t="s">
        <v>279</v>
      </c>
      <c r="E57" s="960" t="s">
        <v>590</v>
      </c>
      <c r="F57" s="960" t="s">
        <v>279</v>
      </c>
      <c r="G57" s="962" t="s">
        <v>688</v>
      </c>
      <c r="H57" s="967" t="s">
        <v>432</v>
      </c>
      <c r="I57" s="321"/>
    </row>
    <row r="58" spans="1:9" ht="12.75" customHeight="1" outlineLevel="1" x14ac:dyDescent="0.2">
      <c r="A58" s="960"/>
      <c r="B58" s="961"/>
      <c r="C58" s="960"/>
      <c r="D58" s="963"/>
      <c r="E58" s="960"/>
      <c r="F58" s="960"/>
      <c r="G58" s="963"/>
      <c r="H58" s="967"/>
      <c r="I58" s="321"/>
    </row>
    <row r="59" spans="1:9" ht="12.75" customHeight="1" outlineLevel="1" x14ac:dyDescent="0.2">
      <c r="A59" s="960"/>
      <c r="B59" s="961"/>
      <c r="C59" s="960"/>
      <c r="D59" s="964"/>
      <c r="E59" s="960"/>
      <c r="F59" s="960"/>
      <c r="G59" s="963"/>
      <c r="H59" s="967"/>
      <c r="I59" s="321"/>
    </row>
    <row r="60" spans="1:9" ht="12.75" customHeight="1" outlineLevel="1" x14ac:dyDescent="0.2">
      <c r="A60" s="960"/>
      <c r="B60" s="960"/>
      <c r="C60" s="960"/>
      <c r="D60" s="965"/>
      <c r="E60" s="960"/>
      <c r="F60" s="960"/>
      <c r="G60" s="966"/>
      <c r="H60" s="967"/>
      <c r="I60" s="321"/>
    </row>
    <row r="61" spans="1:9" ht="12.75" customHeight="1" x14ac:dyDescent="0.2">
      <c r="A61" s="968" t="s">
        <v>436</v>
      </c>
      <c r="B61" s="969"/>
      <c r="C61" s="970"/>
      <c r="D61" s="970"/>
      <c r="E61" s="970"/>
      <c r="F61" s="970"/>
      <c r="G61" s="970"/>
      <c r="H61" s="971"/>
      <c r="I61" s="313"/>
    </row>
    <row r="62" spans="1:9" ht="12.75" customHeight="1" outlineLevel="1" x14ac:dyDescent="0.2">
      <c r="A62" s="972"/>
      <c r="B62" s="961"/>
      <c r="C62" s="960"/>
      <c r="D62" s="973"/>
      <c r="E62" s="960"/>
      <c r="F62" s="960"/>
      <c r="G62" s="973"/>
      <c r="H62" s="974"/>
    </row>
    <row r="63" spans="1:9" ht="12.75" customHeight="1" outlineLevel="1" x14ac:dyDescent="0.2">
      <c r="A63" s="972"/>
      <c r="B63" s="961"/>
      <c r="C63" s="960"/>
      <c r="D63" s="973"/>
      <c r="E63" s="960"/>
      <c r="F63" s="960"/>
      <c r="G63" s="973"/>
      <c r="H63" s="974"/>
    </row>
    <row r="64" spans="1:9" ht="12.75" customHeight="1" outlineLevel="1" x14ac:dyDescent="0.2">
      <c r="A64" s="972"/>
      <c r="B64" s="961"/>
      <c r="C64" s="960"/>
      <c r="D64" s="960"/>
      <c r="E64" s="960"/>
      <c r="F64" s="960"/>
      <c r="G64" s="960"/>
      <c r="H64" s="974"/>
    </row>
    <row r="65" spans="1:8" ht="12.75" customHeight="1" outlineLevel="1" x14ac:dyDescent="0.2">
      <c r="A65" s="972"/>
      <c r="B65" s="960"/>
      <c r="C65" s="960"/>
      <c r="D65" s="960"/>
      <c r="E65" s="960"/>
      <c r="F65" s="960"/>
      <c r="G65" s="960"/>
      <c r="H65" s="974"/>
    </row>
    <row r="66" spans="1:8" ht="12.75" customHeight="1" x14ac:dyDescent="0.2">
      <c r="A66" s="976" t="s">
        <v>437</v>
      </c>
      <c r="B66" s="970"/>
      <c r="C66" s="970"/>
      <c r="D66" s="970"/>
      <c r="E66" s="970"/>
      <c r="F66" s="970"/>
      <c r="G66" s="970"/>
      <c r="H66" s="971"/>
    </row>
    <row r="67" spans="1:8" ht="12.75" customHeight="1" outlineLevel="1" x14ac:dyDescent="0.2">
      <c r="A67" s="972"/>
      <c r="B67" s="961"/>
      <c r="C67" s="960"/>
      <c r="D67" s="973"/>
      <c r="E67" s="960"/>
      <c r="F67" s="960"/>
      <c r="G67" s="973"/>
      <c r="H67" s="974"/>
    </row>
    <row r="68" spans="1:8" ht="12.75" customHeight="1" outlineLevel="1" x14ac:dyDescent="0.2">
      <c r="A68" s="972"/>
      <c r="B68" s="961"/>
      <c r="C68" s="960"/>
      <c r="D68" s="973"/>
      <c r="E68" s="960"/>
      <c r="F68" s="960"/>
      <c r="G68" s="973"/>
      <c r="H68" s="974"/>
    </row>
    <row r="69" spans="1:8" ht="12.75" customHeight="1" outlineLevel="1" x14ac:dyDescent="0.2">
      <c r="A69" s="972"/>
      <c r="B69" s="961"/>
      <c r="C69" s="960"/>
      <c r="D69" s="960"/>
      <c r="E69" s="960"/>
      <c r="F69" s="960"/>
      <c r="G69" s="960"/>
      <c r="H69" s="974"/>
    </row>
    <row r="70" spans="1:8" ht="12.75" customHeight="1" outlineLevel="1" x14ac:dyDescent="0.2">
      <c r="A70" s="972"/>
      <c r="B70" s="960"/>
      <c r="C70" s="960"/>
      <c r="D70" s="960"/>
      <c r="E70" s="960"/>
      <c r="F70" s="960"/>
      <c r="G70" s="960"/>
      <c r="H70" s="974"/>
    </row>
    <row r="71" spans="1:8" ht="12.75" customHeight="1" x14ac:dyDescent="0.2">
      <c r="A71" s="312"/>
      <c r="B71" s="312"/>
      <c r="C71" s="975"/>
      <c r="D71" s="975"/>
      <c r="E71" s="312"/>
      <c r="F71" s="312"/>
      <c r="G71" s="312"/>
    </row>
    <row r="72" spans="1:8" ht="12.75" customHeight="1" x14ac:dyDescent="0.2">
      <c r="A72" s="282"/>
      <c r="B72" s="282"/>
      <c r="C72" s="506" t="s">
        <v>409</v>
      </c>
      <c r="D72" s="507"/>
      <c r="E72" s="504" t="s">
        <v>410</v>
      </c>
      <c r="F72" s="504"/>
      <c r="G72" s="505" t="s">
        <v>437</v>
      </c>
      <c r="H72" s="505"/>
    </row>
    <row r="73" spans="1:8" ht="12.75" customHeight="1" x14ac:dyDescent="0.2">
      <c r="A73" s="512" t="s">
        <v>438</v>
      </c>
      <c r="B73" s="556"/>
      <c r="C73" s="557" t="s">
        <v>439</v>
      </c>
      <c r="D73" s="558"/>
      <c r="E73" s="540"/>
      <c r="F73" s="541"/>
      <c r="G73" s="557"/>
      <c r="H73" s="558"/>
    </row>
    <row r="74" spans="1:8" ht="12.75" customHeight="1" x14ac:dyDescent="0.2">
      <c r="A74" s="512" t="s">
        <v>440</v>
      </c>
      <c r="B74" s="556"/>
      <c r="C74" s="514">
        <v>43643</v>
      </c>
      <c r="D74" s="581"/>
      <c r="E74" s="540"/>
      <c r="F74" s="541"/>
      <c r="G74" s="557"/>
      <c r="H74" s="558"/>
    </row>
    <row r="75" spans="1:8" ht="12.75" customHeight="1" x14ac:dyDescent="0.2">
      <c r="A75" s="512" t="s">
        <v>441</v>
      </c>
      <c r="B75" s="556"/>
      <c r="C75" s="582" t="s">
        <v>330</v>
      </c>
      <c r="D75" s="583"/>
      <c r="E75" s="557" t="s">
        <v>392</v>
      </c>
      <c r="F75" s="558"/>
      <c r="G75" s="557" t="s">
        <v>392</v>
      </c>
      <c r="H75" s="558"/>
    </row>
    <row r="76" spans="1:8" ht="12.75" customHeight="1" x14ac:dyDescent="0.2">
      <c r="A76" s="312"/>
      <c r="B76" s="312"/>
      <c r="C76" s="322"/>
      <c r="D76" s="322"/>
      <c r="E76" s="312"/>
      <c r="F76" s="312"/>
      <c r="G76" s="312"/>
      <c r="H76" s="312"/>
    </row>
    <row r="77" spans="1:8" ht="12.75" customHeight="1" x14ac:dyDescent="0.2">
      <c r="A77" s="977" t="s">
        <v>442</v>
      </c>
      <c r="B77" s="978"/>
      <c r="C77" s="312"/>
      <c r="D77" s="312"/>
      <c r="E77" s="312"/>
      <c r="F77" s="312"/>
      <c r="G77" s="312"/>
    </row>
    <row r="78" spans="1:8" ht="12.75" customHeight="1" x14ac:dyDescent="0.2">
      <c r="A78" s="979" t="s">
        <v>279</v>
      </c>
      <c r="B78" s="980"/>
      <c r="C78" s="983" t="s">
        <v>443</v>
      </c>
      <c r="D78" s="984"/>
      <c r="E78" s="984"/>
      <c r="F78" s="984"/>
      <c r="G78" s="984"/>
      <c r="H78" s="985"/>
    </row>
    <row r="79" spans="1:8" ht="12.75" customHeight="1" x14ac:dyDescent="0.2">
      <c r="A79" s="981"/>
      <c r="B79" s="982"/>
      <c r="C79" s="986"/>
      <c r="D79" s="987"/>
      <c r="E79" s="987"/>
      <c r="F79" s="987"/>
      <c r="G79" s="987"/>
      <c r="H79" s="988"/>
    </row>
    <row r="80" spans="1:8" ht="12.75" customHeight="1" x14ac:dyDescent="0.2">
      <c r="A80" s="989" t="s">
        <v>432</v>
      </c>
      <c r="B80" s="990"/>
      <c r="C80" s="983" t="s">
        <v>444</v>
      </c>
      <c r="D80" s="984"/>
      <c r="E80" s="984"/>
      <c r="F80" s="984"/>
      <c r="G80" s="984"/>
      <c r="H80" s="985"/>
    </row>
    <row r="81" spans="1:8" ht="12.75" customHeight="1" x14ac:dyDescent="0.2">
      <c r="A81" s="991"/>
      <c r="B81" s="992"/>
      <c r="C81" s="986"/>
      <c r="D81" s="987"/>
      <c r="E81" s="987"/>
      <c r="F81" s="987"/>
      <c r="G81" s="987"/>
      <c r="H81" s="988"/>
    </row>
    <row r="83" spans="1:8" ht="12.75" customHeight="1" x14ac:dyDescent="0.2">
      <c r="A83" s="843" t="s">
        <v>370</v>
      </c>
      <c r="B83" s="843"/>
      <c r="C83" s="843"/>
      <c r="D83" s="843"/>
      <c r="E83" s="843"/>
      <c r="F83" s="843"/>
      <c r="G83" s="843"/>
      <c r="H83" s="843"/>
    </row>
    <row r="84" spans="1:8" ht="12.75" customHeight="1" x14ac:dyDescent="0.2">
      <c r="A84" s="283" t="s">
        <v>449</v>
      </c>
      <c r="B84" s="283" t="s">
        <v>450</v>
      </c>
      <c r="C84" s="283" t="s">
        <v>451</v>
      </c>
      <c r="D84" s="843" t="s">
        <v>452</v>
      </c>
      <c r="E84" s="843"/>
      <c r="F84" s="843"/>
      <c r="G84" s="843"/>
      <c r="H84" s="843"/>
    </row>
    <row r="85" spans="1:8" ht="12.75" customHeight="1" x14ac:dyDescent="0.2">
      <c r="A85" s="908" t="s">
        <v>83</v>
      </c>
      <c r="B85" s="908" t="s">
        <v>454</v>
      </c>
      <c r="C85" s="913"/>
      <c r="D85" s="894" t="s">
        <v>456</v>
      </c>
      <c r="E85" s="895" t="s">
        <v>457</v>
      </c>
      <c r="F85" s="895"/>
      <c r="G85" s="801" t="s">
        <v>712</v>
      </c>
      <c r="H85" s="801"/>
    </row>
    <row r="86" spans="1:8" ht="12.75" customHeight="1" x14ac:dyDescent="0.2">
      <c r="A86" s="908"/>
      <c r="B86" s="908"/>
      <c r="C86" s="913"/>
      <c r="D86" s="894"/>
      <c r="E86" s="895"/>
      <c r="F86" s="895"/>
      <c r="G86" s="801"/>
      <c r="H86" s="801"/>
    </row>
    <row r="87" spans="1:8" ht="12.75" customHeight="1" x14ac:dyDescent="0.2">
      <c r="A87" s="908"/>
      <c r="B87" s="908"/>
      <c r="C87" s="913"/>
      <c r="D87" s="894"/>
      <c r="E87" s="895"/>
      <c r="F87" s="895"/>
      <c r="G87" s="801"/>
      <c r="H87" s="801"/>
    </row>
    <row r="88" spans="1:8" ht="12.75" customHeight="1" x14ac:dyDescent="0.2">
      <c r="A88" s="908"/>
      <c r="B88" s="908"/>
      <c r="C88" s="913"/>
      <c r="D88" s="894"/>
      <c r="E88" s="895"/>
      <c r="F88" s="895"/>
      <c r="G88" s="801"/>
      <c r="H88" s="801"/>
    </row>
    <row r="89" spans="1:8" ht="12.75" customHeight="1" x14ac:dyDescent="0.2">
      <c r="A89" s="908"/>
      <c r="B89" s="908"/>
      <c r="C89" s="913"/>
      <c r="D89" s="894"/>
      <c r="E89" s="895"/>
      <c r="F89" s="895"/>
      <c r="G89" s="801"/>
      <c r="H89" s="801"/>
    </row>
    <row r="90" spans="1:8" ht="12.75" customHeight="1" x14ac:dyDescent="0.2">
      <c r="A90" s="908"/>
      <c r="B90" s="908"/>
      <c r="C90" s="913"/>
      <c r="D90" s="894" t="s">
        <v>458</v>
      </c>
      <c r="E90" s="895" t="s">
        <v>459</v>
      </c>
      <c r="F90" s="895"/>
      <c r="G90" s="801" t="s">
        <v>712</v>
      </c>
      <c r="H90" s="801"/>
    </row>
    <row r="91" spans="1:8" ht="12.75" customHeight="1" x14ac:dyDescent="0.2">
      <c r="A91" s="908"/>
      <c r="B91" s="908"/>
      <c r="C91" s="913"/>
      <c r="D91" s="894"/>
      <c r="E91" s="895"/>
      <c r="F91" s="895"/>
      <c r="G91" s="801"/>
      <c r="H91" s="801"/>
    </row>
    <row r="92" spans="1:8" ht="12.75" customHeight="1" x14ac:dyDescent="0.2">
      <c r="A92" s="908"/>
      <c r="B92" s="908"/>
      <c r="C92" s="913"/>
      <c r="D92" s="894"/>
      <c r="E92" s="895"/>
      <c r="F92" s="895"/>
      <c r="G92" s="801"/>
      <c r="H92" s="801"/>
    </row>
    <row r="93" spans="1:8" ht="12.75" customHeight="1" x14ac:dyDescent="0.2">
      <c r="A93" s="908"/>
      <c r="B93" s="908"/>
      <c r="C93" s="913"/>
      <c r="D93" s="894"/>
      <c r="E93" s="895"/>
      <c r="F93" s="895"/>
      <c r="G93" s="801"/>
      <c r="H93" s="801"/>
    </row>
    <row r="94" spans="1:8" ht="12.75" customHeight="1" x14ac:dyDescent="0.2">
      <c r="A94" s="908"/>
      <c r="B94" s="908"/>
      <c r="C94" s="913"/>
      <c r="D94" s="894"/>
      <c r="E94" s="895"/>
      <c r="F94" s="895"/>
      <c r="G94" s="801"/>
      <c r="H94" s="801"/>
    </row>
    <row r="95" spans="1:8" ht="12.75" customHeight="1" x14ac:dyDescent="0.2">
      <c r="A95" s="908"/>
      <c r="B95" s="908"/>
      <c r="C95" s="913"/>
      <c r="D95" s="894" t="s">
        <v>460</v>
      </c>
      <c r="E95" s="895" t="s">
        <v>461</v>
      </c>
      <c r="F95" s="895"/>
      <c r="G95" s="801" t="s">
        <v>712</v>
      </c>
      <c r="H95" s="801"/>
    </row>
    <row r="96" spans="1:8" ht="12.75" customHeight="1" x14ac:dyDescent="0.2">
      <c r="A96" s="908"/>
      <c r="B96" s="908"/>
      <c r="C96" s="913"/>
      <c r="D96" s="894"/>
      <c r="E96" s="895"/>
      <c r="F96" s="895"/>
      <c r="G96" s="801"/>
      <c r="H96" s="801"/>
    </row>
    <row r="97" spans="1:8" ht="12.75" customHeight="1" x14ac:dyDescent="0.2">
      <c r="A97" s="908"/>
      <c r="B97" s="908"/>
      <c r="C97" s="913"/>
      <c r="D97" s="894"/>
      <c r="E97" s="895"/>
      <c r="F97" s="895"/>
      <c r="G97" s="801"/>
      <c r="H97" s="801"/>
    </row>
    <row r="98" spans="1:8" ht="12.75" customHeight="1" x14ac:dyDescent="0.2">
      <c r="A98" s="908"/>
      <c r="B98" s="908"/>
      <c r="C98" s="913"/>
      <c r="D98" s="894"/>
      <c r="E98" s="895"/>
      <c r="F98" s="895"/>
      <c r="G98" s="801"/>
      <c r="H98" s="801"/>
    </row>
    <row r="99" spans="1:8" ht="12.75" customHeight="1" x14ac:dyDescent="0.2">
      <c r="A99" s="908"/>
      <c r="B99" s="908"/>
      <c r="C99" s="913"/>
      <c r="D99" s="894"/>
      <c r="E99" s="895"/>
      <c r="F99" s="895"/>
      <c r="G99" s="801"/>
      <c r="H99" s="801"/>
    </row>
    <row r="100" spans="1:8" ht="12.75" customHeight="1" x14ac:dyDescent="0.2">
      <c r="A100" s="908"/>
      <c r="B100" s="908"/>
      <c r="C100" s="913"/>
      <c r="D100" s="894"/>
      <c r="E100" s="895" t="s">
        <v>462</v>
      </c>
      <c r="F100" s="895"/>
      <c r="G100" s="912"/>
      <c r="H100" s="912"/>
    </row>
    <row r="101" spans="1:8" ht="12.75" customHeight="1" x14ac:dyDescent="0.2">
      <c r="A101" s="908"/>
      <c r="B101" s="908"/>
      <c r="C101" s="913"/>
      <c r="D101" s="894"/>
      <c r="E101" s="895"/>
      <c r="F101" s="895"/>
      <c r="G101" s="912"/>
      <c r="H101" s="912"/>
    </row>
    <row r="102" spans="1:8" ht="12.75" customHeight="1" x14ac:dyDescent="0.2">
      <c r="A102" s="908"/>
      <c r="B102" s="908"/>
      <c r="C102" s="913"/>
      <c r="D102" s="894"/>
      <c r="E102" s="895" t="s">
        <v>463</v>
      </c>
      <c r="F102" s="895"/>
      <c r="G102" s="801" t="s">
        <v>712</v>
      </c>
      <c r="H102" s="801"/>
    </row>
    <row r="103" spans="1:8" ht="12.75" customHeight="1" x14ac:dyDescent="0.2">
      <c r="A103" s="908"/>
      <c r="B103" s="908"/>
      <c r="C103" s="913"/>
      <c r="D103" s="894"/>
      <c r="E103" s="895"/>
      <c r="F103" s="895"/>
      <c r="G103" s="801"/>
      <c r="H103" s="801"/>
    </row>
    <row r="104" spans="1:8" ht="12.75" customHeight="1" x14ac:dyDescent="0.2">
      <c r="A104" s="908"/>
      <c r="B104" s="908"/>
      <c r="C104" s="913"/>
      <c r="D104" s="894"/>
      <c r="E104" s="895"/>
      <c r="F104" s="895"/>
      <c r="G104" s="801"/>
      <c r="H104" s="801"/>
    </row>
    <row r="105" spans="1:8" ht="12.75" customHeight="1" x14ac:dyDescent="0.2">
      <c r="A105" s="908"/>
      <c r="B105" s="908"/>
      <c r="C105" s="913"/>
      <c r="D105" s="894"/>
      <c r="E105" s="895"/>
      <c r="F105" s="895"/>
      <c r="G105" s="801"/>
      <c r="H105" s="801"/>
    </row>
    <row r="106" spans="1:8" ht="12.75" customHeight="1" x14ac:dyDescent="0.2">
      <c r="A106" s="908"/>
      <c r="B106" s="908"/>
      <c r="C106" s="913"/>
      <c r="D106" s="894"/>
      <c r="E106" s="895"/>
      <c r="F106" s="895"/>
      <c r="G106" s="801"/>
      <c r="H106" s="801"/>
    </row>
    <row r="107" spans="1:8" ht="12.75" customHeight="1" x14ac:dyDescent="0.2">
      <c r="A107" s="908"/>
      <c r="B107" s="908"/>
      <c r="C107" s="913"/>
      <c r="D107" s="894"/>
      <c r="E107" s="895" t="s">
        <v>464</v>
      </c>
      <c r="F107" s="895"/>
      <c r="G107" s="912"/>
      <c r="H107" s="912"/>
    </row>
    <row r="108" spans="1:8" ht="12.75" customHeight="1" x14ac:dyDescent="0.2">
      <c r="A108" s="908"/>
      <c r="B108" s="908"/>
      <c r="C108" s="913"/>
      <c r="D108" s="894"/>
      <c r="E108" s="895"/>
      <c r="F108" s="895"/>
      <c r="G108" s="912"/>
      <c r="H108" s="912"/>
    </row>
    <row r="109" spans="1:8" ht="12.75" customHeight="1" x14ac:dyDescent="0.2">
      <c r="A109" s="908"/>
      <c r="B109" s="908"/>
      <c r="C109" s="913"/>
      <c r="D109" s="894" t="s">
        <v>465</v>
      </c>
      <c r="E109" s="895" t="s">
        <v>466</v>
      </c>
      <c r="F109" s="895"/>
      <c r="G109" s="801" t="s">
        <v>708</v>
      </c>
      <c r="H109" s="801"/>
    </row>
    <row r="110" spans="1:8" ht="12.75" customHeight="1" x14ac:dyDescent="0.2">
      <c r="A110" s="908"/>
      <c r="B110" s="908"/>
      <c r="C110" s="913"/>
      <c r="D110" s="894"/>
      <c r="E110" s="895"/>
      <c r="F110" s="895"/>
      <c r="G110" s="801"/>
      <c r="H110" s="801"/>
    </row>
    <row r="111" spans="1:8" ht="12.75" customHeight="1" x14ac:dyDescent="0.2">
      <c r="A111" s="908"/>
      <c r="B111" s="908"/>
      <c r="C111" s="913"/>
      <c r="D111" s="894"/>
      <c r="E111" s="895"/>
      <c r="F111" s="895"/>
      <c r="G111" s="801"/>
      <c r="H111" s="801"/>
    </row>
    <row r="112" spans="1:8" ht="12.75" customHeight="1" x14ac:dyDescent="0.2">
      <c r="A112" s="908"/>
      <c r="B112" s="908"/>
      <c r="C112" s="913"/>
      <c r="D112" s="894"/>
      <c r="E112" s="895"/>
      <c r="F112" s="895"/>
      <c r="G112" s="801"/>
      <c r="H112" s="801"/>
    </row>
    <row r="113" spans="1:8" ht="12.75" customHeight="1" x14ac:dyDescent="0.2">
      <c r="A113" s="908"/>
      <c r="B113" s="908"/>
      <c r="C113" s="913"/>
      <c r="D113" s="894"/>
      <c r="E113" s="895"/>
      <c r="F113" s="895"/>
      <c r="G113" s="801"/>
      <c r="H113" s="801"/>
    </row>
    <row r="114" spans="1:8" ht="12.75" customHeight="1" x14ac:dyDescent="0.2">
      <c r="A114" s="908"/>
      <c r="B114" s="908"/>
      <c r="C114" s="913"/>
      <c r="D114" s="894"/>
      <c r="E114" s="895" t="s">
        <v>467</v>
      </c>
      <c r="F114" s="895"/>
      <c r="G114" s="912"/>
      <c r="H114" s="912"/>
    </row>
    <row r="115" spans="1:8" ht="12.75" customHeight="1" x14ac:dyDescent="0.2">
      <c r="A115" s="908"/>
      <c r="B115" s="908"/>
      <c r="C115" s="913"/>
      <c r="D115" s="894"/>
      <c r="E115" s="895"/>
      <c r="F115" s="895"/>
      <c r="G115" s="912"/>
      <c r="H115" s="912"/>
    </row>
    <row r="116" spans="1:8" ht="12.75" customHeight="1" x14ac:dyDescent="0.2">
      <c r="A116" s="908" t="s">
        <v>453</v>
      </c>
      <c r="B116" s="908" t="s">
        <v>468</v>
      </c>
      <c r="C116" s="908" t="s">
        <v>455</v>
      </c>
      <c r="D116" s="916" t="s">
        <v>456</v>
      </c>
      <c r="E116" s="897" t="s">
        <v>469</v>
      </c>
      <c r="F116" s="897"/>
      <c r="G116" s="909" t="s">
        <v>455</v>
      </c>
      <c r="H116" s="909"/>
    </row>
    <row r="117" spans="1:8" ht="12.75" customHeight="1" x14ac:dyDescent="0.2">
      <c r="A117" s="908"/>
      <c r="B117" s="908"/>
      <c r="C117" s="908"/>
      <c r="D117" s="916"/>
      <c r="E117" s="897"/>
      <c r="F117" s="897"/>
      <c r="G117" s="909"/>
      <c r="H117" s="909"/>
    </row>
    <row r="118" spans="1:8" ht="12.75" customHeight="1" x14ac:dyDescent="0.2">
      <c r="A118" s="908"/>
      <c r="B118" s="908"/>
      <c r="C118" s="908"/>
      <c r="D118" s="916"/>
      <c r="E118" s="897"/>
      <c r="F118" s="897"/>
      <c r="G118" s="909"/>
      <c r="H118" s="909"/>
    </row>
    <row r="119" spans="1:8" ht="12.75" customHeight="1" x14ac:dyDescent="0.2">
      <c r="A119" s="908"/>
      <c r="B119" s="908"/>
      <c r="C119" s="908"/>
      <c r="D119" s="916"/>
      <c r="E119" s="897"/>
      <c r="F119" s="897"/>
      <c r="G119" s="909"/>
      <c r="H119" s="909"/>
    </row>
    <row r="120" spans="1:8" ht="12.75" customHeight="1" x14ac:dyDescent="0.2">
      <c r="A120" s="908"/>
      <c r="B120" s="908"/>
      <c r="C120" s="908"/>
      <c r="D120" s="916"/>
      <c r="E120" s="897"/>
      <c r="F120" s="897"/>
      <c r="G120" s="909"/>
      <c r="H120" s="909"/>
    </row>
  </sheetData>
  <sheetProtection algorithmName="SHA-512" hashValue="S5cRMby8ycDGWOeAdaU3KlvyZ23GPRPd7d3KVt+NteHyxgb0sKzbL/a9Ub8my9fX0agea1FVfXkc8DK03IH/eA==" saltValue="Ha6qo1x07b7b7sbyVreojQ==" spinCount="100000" sheet="1" objects="1" scenarios="1"/>
  <mergeCells count="140">
    <mergeCell ref="G116:H120"/>
    <mergeCell ref="D109:D115"/>
    <mergeCell ref="E109:F113"/>
    <mergeCell ref="G109:H113"/>
    <mergeCell ref="E114:F115"/>
    <mergeCell ref="G114:H115"/>
    <mergeCell ref="A116:A120"/>
    <mergeCell ref="B116:B120"/>
    <mergeCell ref="C116:C120"/>
    <mergeCell ref="D116:D120"/>
    <mergeCell ref="E116:F120"/>
    <mergeCell ref="D84:H84"/>
    <mergeCell ref="A85:A115"/>
    <mergeCell ref="B85:B115"/>
    <mergeCell ref="C85:C115"/>
    <mergeCell ref="D85:D89"/>
    <mergeCell ref="E85:F89"/>
    <mergeCell ref="G85:H89"/>
    <mergeCell ref="D90:D94"/>
    <mergeCell ref="E90:F94"/>
    <mergeCell ref="G90:H94"/>
    <mergeCell ref="D95:D108"/>
    <mergeCell ref="E95:F99"/>
    <mergeCell ref="G95:H99"/>
    <mergeCell ref="E100:F101"/>
    <mergeCell ref="G100:H101"/>
    <mergeCell ref="E102:F106"/>
    <mergeCell ref="G102:H106"/>
    <mergeCell ref="E107:F108"/>
    <mergeCell ref="G107:H108"/>
    <mergeCell ref="A77:B77"/>
    <mergeCell ref="A78:B79"/>
    <mergeCell ref="C78:H79"/>
    <mergeCell ref="A80:B81"/>
    <mergeCell ref="C80:H81"/>
    <mergeCell ref="A83:H83"/>
    <mergeCell ref="A74:B74"/>
    <mergeCell ref="C74:D74"/>
    <mergeCell ref="E74:F74"/>
    <mergeCell ref="G74:H74"/>
    <mergeCell ref="A75:B75"/>
    <mergeCell ref="C75:D75"/>
    <mergeCell ref="E75:F75"/>
    <mergeCell ref="G75:H75"/>
    <mergeCell ref="C71:D71"/>
    <mergeCell ref="C72:D72"/>
    <mergeCell ref="E72:F72"/>
    <mergeCell ref="G72:H72"/>
    <mergeCell ref="A73:B73"/>
    <mergeCell ref="C73:D73"/>
    <mergeCell ref="E73:F73"/>
    <mergeCell ref="G73:H73"/>
    <mergeCell ref="A66:H66"/>
    <mergeCell ref="A67:A70"/>
    <mergeCell ref="B67:B70"/>
    <mergeCell ref="C67:C70"/>
    <mergeCell ref="D67:D70"/>
    <mergeCell ref="E67:E70"/>
    <mergeCell ref="F67:F70"/>
    <mergeCell ref="G67:G70"/>
    <mergeCell ref="H67:H70"/>
    <mergeCell ref="A61:H61"/>
    <mergeCell ref="A62:A65"/>
    <mergeCell ref="B62:B65"/>
    <mergeCell ref="C62:C65"/>
    <mergeCell ref="D62:D65"/>
    <mergeCell ref="E62:E65"/>
    <mergeCell ref="F62:F65"/>
    <mergeCell ref="G62:G65"/>
    <mergeCell ref="H62:H65"/>
    <mergeCell ref="A56:H56"/>
    <mergeCell ref="A57:A60"/>
    <mergeCell ref="B57:B60"/>
    <mergeCell ref="C57:C60"/>
    <mergeCell ref="D57:D60"/>
    <mergeCell ref="E57:E60"/>
    <mergeCell ref="F57:F60"/>
    <mergeCell ref="G57:G60"/>
    <mergeCell ref="H57:H60"/>
    <mergeCell ref="A48:B50"/>
    <mergeCell ref="C48:D50"/>
    <mergeCell ref="E48:F50"/>
    <mergeCell ref="G48:H50"/>
    <mergeCell ref="A52:A55"/>
    <mergeCell ref="B52:B55"/>
    <mergeCell ref="C52:C55"/>
    <mergeCell ref="D52:D55"/>
    <mergeCell ref="E52:E55"/>
    <mergeCell ref="F52:F55"/>
    <mergeCell ref="G52:G55"/>
    <mergeCell ref="H52:H55"/>
    <mergeCell ref="A45:B45"/>
    <mergeCell ref="C45:D45"/>
    <mergeCell ref="E45:F45"/>
    <mergeCell ref="G45:H45"/>
    <mergeCell ref="A46:B47"/>
    <mergeCell ref="C46:D47"/>
    <mergeCell ref="E46:F47"/>
    <mergeCell ref="G46:H47"/>
    <mergeCell ref="A34:B43"/>
    <mergeCell ref="C34:D43"/>
    <mergeCell ref="E34:F43"/>
    <mergeCell ref="G34:H43"/>
    <mergeCell ref="A44:B44"/>
    <mergeCell ref="C44:D44"/>
    <mergeCell ref="E44:F44"/>
    <mergeCell ref="G44:H44"/>
    <mergeCell ref="A29:B30"/>
    <mergeCell ref="C29:H30"/>
    <mergeCell ref="C32:D32"/>
    <mergeCell ref="E32:F32"/>
    <mergeCell ref="G32:H32"/>
    <mergeCell ref="A33:B33"/>
    <mergeCell ref="C33:D33"/>
    <mergeCell ref="E33:F33"/>
    <mergeCell ref="G33:H33"/>
    <mergeCell ref="A26:B26"/>
    <mergeCell ref="C26:H26"/>
    <mergeCell ref="A27:B27"/>
    <mergeCell ref="C27:H27"/>
    <mergeCell ref="A28:B28"/>
    <mergeCell ref="C28:H28"/>
    <mergeCell ref="A23:B23"/>
    <mergeCell ref="C23:H23"/>
    <mergeCell ref="A24:B24"/>
    <mergeCell ref="C24:H24"/>
    <mergeCell ref="A25:B25"/>
    <mergeCell ref="C25:H25"/>
    <mergeCell ref="A11:B14"/>
    <mergeCell ref="C11:H14"/>
    <mergeCell ref="A16:B21"/>
    <mergeCell ref="C16:H21"/>
    <mergeCell ref="A22:B22"/>
    <mergeCell ref="C22:H22"/>
    <mergeCell ref="A8:B8"/>
    <mergeCell ref="C8:H8"/>
    <mergeCell ref="A9:B9"/>
    <mergeCell ref="C9:H9"/>
    <mergeCell ref="A10:B10"/>
    <mergeCell ref="C10:H10"/>
  </mergeCells>
  <conditionalFormatting sqref="G114">
    <cfRule type="containsText" dxfId="119" priority="1" operator="containsText" text="Yes">
      <formula>NOT(ISERROR(SEARCH("Yes",G114)))</formula>
    </cfRule>
    <cfRule type="containsText" dxfId="118" priority="2" operator="containsText" text="No">
      <formula>NOT(ISERROR(SEARCH("No",G114)))</formula>
    </cfRule>
    <cfRule type="containsText" dxfId="117" priority="3" operator="containsText" text="N/A">
      <formula>NOT(ISERROR(SEARCH("N/A",G114)))</formula>
    </cfRule>
  </conditionalFormatting>
  <conditionalFormatting sqref="G100">
    <cfRule type="containsText" dxfId="116" priority="7" operator="containsText" text="Yes">
      <formula>NOT(ISERROR(SEARCH("Yes",G100)))</formula>
    </cfRule>
    <cfRule type="containsText" dxfId="115" priority="8" operator="containsText" text="No">
      <formula>NOT(ISERROR(SEARCH("No",G100)))</formula>
    </cfRule>
    <cfRule type="containsText" dxfId="114" priority="9" operator="containsText" text="N/A">
      <formula>NOT(ISERROR(SEARCH("N/A",G100)))</formula>
    </cfRule>
  </conditionalFormatting>
  <conditionalFormatting sqref="G107">
    <cfRule type="containsText" dxfId="113" priority="4" operator="containsText" text="Yes">
      <formula>NOT(ISERROR(SEARCH("Yes",G107)))</formula>
    </cfRule>
    <cfRule type="containsText" dxfId="112" priority="5" operator="containsText" text="No">
      <formula>NOT(ISERROR(SEARCH("No",G107)))</formula>
    </cfRule>
    <cfRule type="containsText" dxfId="111" priority="6" operator="containsText" text="N/A">
      <formula>NOT(ISERROR(SEARCH("N/A",G107)))</formula>
    </cfRule>
  </conditionalFormatting>
  <pageMargins left="0.7" right="0.7" top="0.75" bottom="0.75" header="0.3" footer="0.3"/>
  <pageSetup scale="58" fitToHeight="0" orientation="landscape" r:id="rId1"/>
  <drawing r:id="rId2"/>
  <legacyDrawing r:id="rId3"/>
  <controls>
    <mc:AlternateContent xmlns:mc="http://schemas.openxmlformats.org/markup-compatibility/2006">
      <mc:Choice Requires="x14">
        <control shapeId="19457"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19457" r:id="rId4" name="backMenuBtn"/>
      </mc:Fallback>
    </mc:AlternateContent>
    <mc:AlternateContent xmlns:mc="http://schemas.openxmlformats.org/markup-compatibility/2006">
      <mc:Choice Requires="x14">
        <control shapeId="19458" r:id="rId6" name="CommandButton1">
          <controlPr defaultSize="0" autoLine="0" r:id="rId7">
            <anchor moveWithCells="1">
              <from>
                <xdr:col>1</xdr:col>
                <xdr:colOff>676275</xdr:colOff>
                <xdr:row>0</xdr:row>
                <xdr:rowOff>0</xdr:rowOff>
              </from>
              <to>
                <xdr:col>1</xdr:col>
                <xdr:colOff>1876425</xdr:colOff>
                <xdr:row>1</xdr:row>
                <xdr:rowOff>114300</xdr:rowOff>
              </to>
            </anchor>
          </controlPr>
        </control>
      </mc:Choice>
      <mc:Fallback>
        <control shapeId="19458" r:id="rId6" name="CommandButton1"/>
      </mc:Fallback>
    </mc:AlternateContent>
    <mc:AlternateContent xmlns:mc="http://schemas.openxmlformats.org/markup-compatibility/2006">
      <mc:Choice Requires="x14">
        <control shapeId="19459" r:id="rId8" name="CommandButton2">
          <controlPr defaultSize="0" autoLine="0" r:id="rId9">
            <anchor moveWithCells="1">
              <from>
                <xdr:col>0</xdr:col>
                <xdr:colOff>1381125</xdr:colOff>
                <xdr:row>0</xdr:row>
                <xdr:rowOff>9525</xdr:rowOff>
              </from>
              <to>
                <xdr:col>1</xdr:col>
                <xdr:colOff>542925</xdr:colOff>
                <xdr:row>1</xdr:row>
                <xdr:rowOff>123825</xdr:rowOff>
              </to>
            </anchor>
          </controlPr>
        </control>
      </mc:Choice>
      <mc:Fallback>
        <control shapeId="19459"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Dropdown!$H$2:$H$13</xm:f>
          </x14:formula1>
          <xm:sqref>C48:H50 C75:H75</xm:sqref>
        </x14:dataValidation>
        <x14:dataValidation type="list" allowBlank="1" showInputMessage="1" showErrorMessage="1">
          <x14:formula1>
            <xm:f>Dropdown!$I$2:$I$5</xm:f>
          </x14:formula1>
          <xm:sqref>G100:H101 G114:H115 G107:H108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00B050"/>
    <pageSetUpPr fitToPage="1"/>
  </sheetPr>
  <dimension ref="A1:I204"/>
  <sheetViews>
    <sheetView showGridLines="0" zoomScale="75" zoomScaleNormal="75" zoomScalePageLayoutView="60" workbookViewId="0">
      <pane xSplit="2" ySplit="12" topLeftCell="C13" activePane="bottomRight" state="frozen"/>
      <selection activeCell="C156" sqref="C156"/>
      <selection pane="topRight" activeCell="C156" sqref="C156"/>
      <selection pane="bottomLeft" activeCell="C156" sqref="C156"/>
      <selection pane="bottomRight" activeCell="C139" sqref="C139:C169"/>
    </sheetView>
  </sheetViews>
  <sheetFormatPr defaultColWidth="9.140625" defaultRowHeight="12.75" customHeight="1" outlineLevelRow="1" x14ac:dyDescent="0.2"/>
  <cols>
    <col min="1" max="8" width="30.5703125" style="267" customWidth="1"/>
    <col min="9" max="9" width="1.5703125" style="267" customWidth="1"/>
    <col min="10" max="16384" width="9.140625" style="267"/>
  </cols>
  <sheetData>
    <row r="1" spans="1:8" ht="12.75" customHeight="1" x14ac:dyDescent="0.2">
      <c r="A1" s="267" t="s">
        <v>766</v>
      </c>
    </row>
    <row r="3" spans="1:8" ht="12.75" customHeight="1" outlineLevel="1" x14ac:dyDescent="0.2">
      <c r="A3" s="225" t="str">
        <f>Narrative!A3</f>
        <v>ViewRay</v>
      </c>
    </row>
    <row r="4" spans="1:8" ht="12.75" customHeight="1" outlineLevel="1" x14ac:dyDescent="0.2">
      <c r="A4" s="228" t="s">
        <v>394</v>
      </c>
    </row>
    <row r="5" spans="1:8" ht="12.75" customHeight="1" outlineLevel="1" x14ac:dyDescent="0.2">
      <c r="A5" s="225" t="str">
        <f>Narrative!A5</f>
        <v>Financial Close and Reporting (FCR)</v>
      </c>
    </row>
    <row r="6" spans="1:8" ht="12.75" customHeight="1" outlineLevel="1" x14ac:dyDescent="0.2">
      <c r="A6" s="225" t="str">
        <f>Narrative!A6</f>
        <v>FY 2019</v>
      </c>
    </row>
    <row r="7" spans="1:8" ht="12.75" customHeight="1" outlineLevel="1" x14ac:dyDescent="0.2">
      <c r="A7" s="311"/>
      <c r="B7" s="311"/>
      <c r="C7" s="312"/>
      <c r="D7" s="312"/>
      <c r="E7" s="312"/>
      <c r="F7" s="312"/>
      <c r="G7" s="312"/>
      <c r="H7" s="313"/>
    </row>
    <row r="8" spans="1:8" ht="12.75" customHeight="1" x14ac:dyDescent="0.2">
      <c r="A8" s="938" t="s">
        <v>395</v>
      </c>
      <c r="B8" s="939"/>
      <c r="C8" s="935" t="str">
        <f>RCM!A13</f>
        <v>FCR</v>
      </c>
      <c r="D8" s="936"/>
      <c r="E8" s="936"/>
      <c r="F8" s="936"/>
      <c r="G8" s="936"/>
      <c r="H8" s="937"/>
    </row>
    <row r="9" spans="1:8" ht="12.75" customHeight="1" x14ac:dyDescent="0.2">
      <c r="A9" s="931" t="s">
        <v>396</v>
      </c>
      <c r="B9" s="940"/>
      <c r="C9" s="935" t="str">
        <f>VLOOKUP($C$10,RCM!J:X,4,0)</f>
        <v>Corporate Controller</v>
      </c>
      <c r="D9" s="936"/>
      <c r="E9" s="936"/>
      <c r="F9" s="936"/>
      <c r="G9" s="936"/>
      <c r="H9" s="937"/>
    </row>
    <row r="10" spans="1:8" ht="12.75" customHeight="1" x14ac:dyDescent="0.2">
      <c r="A10" s="921" t="s">
        <v>397</v>
      </c>
      <c r="B10" s="941"/>
      <c r="C10" s="935" t="str">
        <f>RCM!J27</f>
        <v>FCR 6.07</v>
      </c>
      <c r="D10" s="936"/>
      <c r="E10" s="936"/>
      <c r="F10" s="936"/>
      <c r="G10" s="936"/>
      <c r="H10" s="937"/>
    </row>
    <row r="11" spans="1:8" ht="12.75" customHeight="1" x14ac:dyDescent="0.2">
      <c r="A11" s="921" t="s">
        <v>398</v>
      </c>
      <c r="B11" s="921"/>
      <c r="C11" s="922" t="str">
        <f>VLOOKUP($C$10,RCM!J:X,2,0)</f>
        <v>Quarterly, the Corporate Controller performs a final review and approval of the Cash Flow Statement to ensure the activities are in line with expectations.</v>
      </c>
      <c r="D11" s="923"/>
      <c r="E11" s="923"/>
      <c r="F11" s="923"/>
      <c r="G11" s="923"/>
      <c r="H11" s="924"/>
    </row>
    <row r="12" spans="1:8" ht="12.75" customHeight="1" x14ac:dyDescent="0.2">
      <c r="A12" s="921"/>
      <c r="B12" s="921"/>
      <c r="C12" s="928" t="e">
        <v>#N/A</v>
      </c>
      <c r="D12" s="929"/>
      <c r="E12" s="929"/>
      <c r="F12" s="929"/>
      <c r="G12" s="929"/>
      <c r="H12" s="930"/>
    </row>
    <row r="13" spans="1:8" ht="12.75" customHeight="1" x14ac:dyDescent="0.2">
      <c r="A13" s="314"/>
      <c r="B13" s="315"/>
      <c r="C13" s="316"/>
      <c r="D13" s="316"/>
      <c r="E13" s="316"/>
      <c r="F13" s="316"/>
      <c r="G13" s="316"/>
      <c r="H13" s="313"/>
    </row>
    <row r="14" spans="1:8" ht="12.75" customHeight="1" x14ac:dyDescent="0.2">
      <c r="A14" s="931" t="s">
        <v>399</v>
      </c>
      <c r="B14" s="931"/>
      <c r="C14" s="787" t="str">
        <f>VLOOKUP($C$10,RCM!J:X,12,0)</f>
        <v>1. Obtain the quarterly cash flow statement.
2. Agree the cash flow statement to supporting schedules.
3. Spot check the statement for clerical accuracy.
4. Ensure the review and approval by the Controller is properly evidenced.</v>
      </c>
      <c r="D14" s="788"/>
      <c r="E14" s="788"/>
      <c r="F14" s="788"/>
      <c r="G14" s="788"/>
      <c r="H14" s="789"/>
    </row>
    <row r="15" spans="1:8" ht="12.75" customHeight="1" x14ac:dyDescent="0.2">
      <c r="A15" s="931"/>
      <c r="B15" s="931"/>
      <c r="C15" s="932"/>
      <c r="D15" s="933"/>
      <c r="E15" s="933"/>
      <c r="F15" s="933"/>
      <c r="G15" s="933"/>
      <c r="H15" s="934"/>
    </row>
    <row r="16" spans="1:8" ht="12.75" customHeight="1" x14ac:dyDescent="0.2">
      <c r="A16" s="931"/>
      <c r="B16" s="931"/>
      <c r="C16" s="932"/>
      <c r="D16" s="933"/>
      <c r="E16" s="933"/>
      <c r="F16" s="933"/>
      <c r="G16" s="933"/>
      <c r="H16" s="934"/>
    </row>
    <row r="17" spans="1:8" ht="12.75" customHeight="1" x14ac:dyDescent="0.2">
      <c r="A17" s="931"/>
      <c r="B17" s="931"/>
      <c r="C17" s="932"/>
      <c r="D17" s="933"/>
      <c r="E17" s="933"/>
      <c r="F17" s="933"/>
      <c r="G17" s="933"/>
      <c r="H17" s="934"/>
    </row>
    <row r="18" spans="1:8" ht="12.75" customHeight="1" x14ac:dyDescent="0.2">
      <c r="A18" s="931"/>
      <c r="B18" s="931"/>
      <c r="C18" s="790" t="e">
        <v>#N/A</v>
      </c>
      <c r="D18" s="791"/>
      <c r="E18" s="791"/>
      <c r="F18" s="791"/>
      <c r="G18" s="791"/>
      <c r="H18" s="792"/>
    </row>
    <row r="19" spans="1:8" ht="12.75" customHeight="1" x14ac:dyDescent="0.2">
      <c r="A19" s="931" t="s">
        <v>400</v>
      </c>
      <c r="B19" s="931"/>
      <c r="C19" s="935" t="str">
        <f>VLOOKUP($C$10,RCM!J:X,8,0)</f>
        <v>Inspection</v>
      </c>
      <c r="D19" s="936"/>
      <c r="E19" s="936"/>
      <c r="F19" s="936"/>
      <c r="G19" s="936"/>
      <c r="H19" s="937"/>
    </row>
    <row r="20" spans="1:8" ht="12.75" customHeight="1" x14ac:dyDescent="0.2">
      <c r="A20" s="931" t="s">
        <v>401</v>
      </c>
      <c r="B20" s="940"/>
      <c r="C20" s="935" t="str">
        <f>VLOOKUP($C$10,RCM!J:X,5,0)</f>
        <v>Quarterly</v>
      </c>
      <c r="D20" s="936"/>
      <c r="E20" s="936"/>
      <c r="F20" s="936"/>
      <c r="G20" s="936"/>
      <c r="H20" s="937"/>
    </row>
    <row r="21" spans="1:8" ht="12.75" customHeight="1" x14ac:dyDescent="0.2">
      <c r="A21" s="931" t="s">
        <v>402</v>
      </c>
      <c r="B21" s="940"/>
      <c r="C21" s="993">
        <f>VLOOKUP($C$10,RCM!J:X,3,0)</f>
        <v>42186</v>
      </c>
      <c r="D21" s="994"/>
      <c r="E21" s="994"/>
      <c r="F21" s="994"/>
      <c r="G21" s="994"/>
      <c r="H21" s="995"/>
    </row>
    <row r="22" spans="1:8" s="275" customFormat="1" ht="12.75" customHeight="1" x14ac:dyDescent="0.2">
      <c r="A22" s="931" t="s">
        <v>403</v>
      </c>
      <c r="B22" s="940"/>
      <c r="C22" s="935" t="str">
        <f>VLOOKUP($C$10,RCM!J:X,10,0)</f>
        <v xml:space="preserve">Medium </v>
      </c>
      <c r="D22" s="936"/>
      <c r="E22" s="936"/>
      <c r="F22" s="936"/>
      <c r="G22" s="936"/>
      <c r="H22" s="937"/>
    </row>
    <row r="23" spans="1:8" ht="12.75" customHeight="1" x14ac:dyDescent="0.2">
      <c r="A23" s="931" t="s">
        <v>404</v>
      </c>
      <c r="B23" s="940"/>
      <c r="C23" s="477" t="str">
        <f>RCM!$AB$3</f>
        <v>1/1/19 - 6/30/19</v>
      </c>
      <c r="D23" s="478"/>
      <c r="E23" s="478"/>
      <c r="F23" s="478"/>
      <c r="G23" s="478"/>
      <c r="H23" s="479"/>
    </row>
    <row r="24" spans="1:8" ht="12.75" customHeight="1" x14ac:dyDescent="0.2">
      <c r="A24" s="931" t="s">
        <v>405</v>
      </c>
      <c r="B24" s="940"/>
      <c r="C24" s="706">
        <f>VLOOKUP(C$10,RCM!$J$9:$AG$29,20,0)</f>
        <v>4</v>
      </c>
      <c r="D24" s="707"/>
      <c r="E24" s="707"/>
      <c r="F24" s="707"/>
      <c r="G24" s="707"/>
      <c r="H24" s="708"/>
    </row>
    <row r="25" spans="1:8" ht="12.75" customHeight="1" x14ac:dyDescent="0.2">
      <c r="A25" s="931" t="s">
        <v>406</v>
      </c>
      <c r="B25" s="940"/>
      <c r="C25" s="483" t="str">
        <f>RCM!$AB$5&amp;" "&amp;VLOOKUP(C$10,RCM!$J$9:$AG$29,21,0)&amp;" "&amp;RCM!$AB$6</f>
        <v>Annual sample size: 2 (See sample size derivation below)</v>
      </c>
      <c r="D25" s="484"/>
      <c r="E25" s="484"/>
      <c r="F25" s="484"/>
      <c r="G25" s="484"/>
      <c r="H25" s="485"/>
    </row>
    <row r="26" spans="1:8" ht="12.75" customHeight="1" x14ac:dyDescent="0.2">
      <c r="A26" s="996" t="s">
        <v>407</v>
      </c>
      <c r="B26" s="997"/>
      <c r="C26" s="460" t="s">
        <v>552</v>
      </c>
      <c r="D26" s="461"/>
      <c r="E26" s="461"/>
      <c r="F26" s="461"/>
      <c r="G26" s="461"/>
      <c r="H26" s="462"/>
    </row>
    <row r="27" spans="1:8" s="275" customFormat="1" ht="12.75" customHeight="1" x14ac:dyDescent="0.2">
      <c r="A27" s="998"/>
      <c r="B27" s="999"/>
      <c r="C27" s="463"/>
      <c r="D27" s="464"/>
      <c r="E27" s="464"/>
      <c r="F27" s="464"/>
      <c r="G27" s="464"/>
      <c r="H27" s="465"/>
    </row>
    <row r="28" spans="1:8" ht="12.75" customHeight="1" x14ac:dyDescent="0.2">
      <c r="A28" s="317"/>
      <c r="B28" s="317"/>
      <c r="C28" s="318"/>
      <c r="D28" s="318"/>
      <c r="E28" s="318"/>
      <c r="F28" s="318"/>
      <c r="G28" s="318"/>
      <c r="H28" s="318"/>
    </row>
    <row r="29" spans="1:8" ht="12.75" customHeight="1" x14ac:dyDescent="0.2">
      <c r="A29" s="279"/>
      <c r="B29" s="279"/>
      <c r="C29" s="504" t="s">
        <v>409</v>
      </c>
      <c r="D29" s="505"/>
      <c r="E29" s="506" t="s">
        <v>410</v>
      </c>
      <c r="F29" s="507"/>
      <c r="G29" s="506" t="s">
        <v>411</v>
      </c>
      <c r="H29" s="507"/>
    </row>
    <row r="30" spans="1:8" ht="12.75" customHeight="1" x14ac:dyDescent="0.2">
      <c r="A30" s="508" t="s">
        <v>412</v>
      </c>
      <c r="B30" s="509"/>
      <c r="C30" s="898">
        <f>VLOOKUP($C$10,RCM!$J$9:$AG$29,22,0)</f>
        <v>1</v>
      </c>
      <c r="D30" s="511"/>
      <c r="E30" s="899">
        <f>VLOOKUP($C$10,RCM!$J$9:$AG$29,23,0)</f>
        <v>0</v>
      </c>
      <c r="F30" s="899"/>
      <c r="G30" s="899">
        <f>VLOOKUP($C$10,RCM!$J$9:$AG$29,24,0)</f>
        <v>1</v>
      </c>
      <c r="H30" s="899"/>
    </row>
    <row r="31" spans="1:8" ht="12.75" customHeight="1" outlineLevel="1" x14ac:dyDescent="0.2">
      <c r="A31" s="523" t="s">
        <v>413</v>
      </c>
      <c r="B31" s="524"/>
      <c r="C31" s="1002" t="s">
        <v>360</v>
      </c>
      <c r="D31" s="1003"/>
      <c r="E31" s="1002"/>
      <c r="F31" s="1003"/>
      <c r="G31" s="722"/>
      <c r="H31" s="723"/>
    </row>
    <row r="32" spans="1:8" ht="12.75" customHeight="1" outlineLevel="1" x14ac:dyDescent="0.2">
      <c r="A32" s="525"/>
      <c r="B32" s="526"/>
      <c r="C32" s="1004"/>
      <c r="D32" s="1005"/>
      <c r="E32" s="1004"/>
      <c r="F32" s="1005"/>
      <c r="G32" s="724"/>
      <c r="H32" s="725"/>
    </row>
    <row r="33" spans="1:9" ht="12.75" customHeight="1" outlineLevel="1" x14ac:dyDescent="0.2">
      <c r="A33" s="525"/>
      <c r="B33" s="526"/>
      <c r="C33" s="1004"/>
      <c r="D33" s="1005"/>
      <c r="E33" s="1004"/>
      <c r="F33" s="1005"/>
      <c r="G33" s="724"/>
      <c r="H33" s="725"/>
    </row>
    <row r="34" spans="1:9" ht="12.75" customHeight="1" outlineLevel="1" x14ac:dyDescent="0.2">
      <c r="A34" s="525"/>
      <c r="B34" s="526"/>
      <c r="C34" s="1004"/>
      <c r="D34" s="1005"/>
      <c r="E34" s="1004"/>
      <c r="F34" s="1005"/>
      <c r="G34" s="724"/>
      <c r="H34" s="725"/>
    </row>
    <row r="35" spans="1:9" ht="12.75" customHeight="1" outlineLevel="1" x14ac:dyDescent="0.2">
      <c r="A35" s="525"/>
      <c r="B35" s="526"/>
      <c r="C35" s="1004"/>
      <c r="D35" s="1005"/>
      <c r="E35" s="1004"/>
      <c r="F35" s="1005"/>
      <c r="G35" s="724"/>
      <c r="H35" s="725"/>
    </row>
    <row r="36" spans="1:9" ht="12.75" customHeight="1" outlineLevel="1" x14ac:dyDescent="0.2">
      <c r="A36" s="525"/>
      <c r="B36" s="526"/>
      <c r="C36" s="1004"/>
      <c r="D36" s="1005"/>
      <c r="E36" s="1004"/>
      <c r="F36" s="1005"/>
      <c r="G36" s="724"/>
      <c r="H36" s="725"/>
    </row>
    <row r="37" spans="1:9" ht="12.75" customHeight="1" outlineLevel="1" x14ac:dyDescent="0.2">
      <c r="A37" s="525"/>
      <c r="B37" s="526"/>
      <c r="C37" s="1004"/>
      <c r="D37" s="1005"/>
      <c r="E37" s="1004"/>
      <c r="F37" s="1005"/>
      <c r="G37" s="724"/>
      <c r="H37" s="725"/>
    </row>
    <row r="38" spans="1:9" ht="12.75" customHeight="1" outlineLevel="1" x14ac:dyDescent="0.2">
      <c r="A38" s="525"/>
      <c r="B38" s="526"/>
      <c r="C38" s="1004"/>
      <c r="D38" s="1005"/>
      <c r="E38" s="1004"/>
      <c r="F38" s="1005"/>
      <c r="G38" s="724"/>
      <c r="H38" s="725"/>
    </row>
    <row r="39" spans="1:9" ht="12.75" customHeight="1" outlineLevel="1" x14ac:dyDescent="0.2">
      <c r="A39" s="527"/>
      <c r="B39" s="528"/>
      <c r="C39" s="1006"/>
      <c r="D39" s="1007"/>
      <c r="E39" s="1006"/>
      <c r="F39" s="1007"/>
      <c r="G39" s="726"/>
      <c r="H39" s="727"/>
    </row>
    <row r="40" spans="1:9" ht="12.75" customHeight="1" x14ac:dyDescent="0.2">
      <c r="A40" s="512" t="s">
        <v>415</v>
      </c>
      <c r="B40" s="513"/>
      <c r="C40" s="957" t="s">
        <v>416</v>
      </c>
      <c r="D40" s="958"/>
      <c r="E40" s="540"/>
      <c r="F40" s="541"/>
      <c r="G40" s="540"/>
      <c r="H40" s="541"/>
    </row>
    <row r="41" spans="1:9" ht="12.75" customHeight="1" x14ac:dyDescent="0.2">
      <c r="A41" s="512" t="s">
        <v>417</v>
      </c>
      <c r="B41" s="513"/>
      <c r="C41" s="946">
        <v>43647</v>
      </c>
      <c r="D41" s="947"/>
      <c r="E41" s="1000"/>
      <c r="F41" s="1000"/>
      <c r="G41" s="1001"/>
      <c r="H41" s="1001"/>
    </row>
    <row r="42" spans="1:9" ht="12.75" customHeight="1" x14ac:dyDescent="0.2">
      <c r="A42" s="795" t="s">
        <v>418</v>
      </c>
      <c r="B42" s="795"/>
      <c r="C42" s="515" t="str">
        <f>VLOOKUP(C$10,'WT (WT)'!$A$8:$K$24,11,0)</f>
        <v>Effective</v>
      </c>
      <c r="D42" s="516"/>
      <c r="E42" s="515"/>
      <c r="F42" s="516"/>
      <c r="G42" s="519"/>
      <c r="H42" s="520"/>
    </row>
    <row r="43" spans="1:9" ht="12.75" customHeight="1" x14ac:dyDescent="0.2">
      <c r="A43" s="795"/>
      <c r="B43" s="795"/>
      <c r="C43" s="517"/>
      <c r="D43" s="518"/>
      <c r="E43" s="517"/>
      <c r="F43" s="518"/>
      <c r="G43" s="521"/>
      <c r="H43" s="522"/>
      <c r="I43" s="313"/>
    </row>
    <row r="44" spans="1:9" ht="12.75" customHeight="1" x14ac:dyDescent="0.2">
      <c r="A44" s="795" t="s">
        <v>419</v>
      </c>
      <c r="B44" s="795"/>
      <c r="C44" s="519" t="s">
        <v>330</v>
      </c>
      <c r="D44" s="520"/>
      <c r="E44" s="519"/>
      <c r="F44" s="520"/>
      <c r="G44" s="519"/>
      <c r="H44" s="520"/>
      <c r="I44" s="313"/>
    </row>
    <row r="45" spans="1:9" ht="12.75" customHeight="1" x14ac:dyDescent="0.2">
      <c r="A45" s="795"/>
      <c r="B45" s="795"/>
      <c r="C45" s="542"/>
      <c r="D45" s="543"/>
      <c r="E45" s="542"/>
      <c r="F45" s="543"/>
      <c r="G45" s="542"/>
      <c r="H45" s="543"/>
      <c r="I45" s="313"/>
    </row>
    <row r="46" spans="1:9" ht="12.75" customHeight="1" x14ac:dyDescent="0.2">
      <c r="A46" s="795"/>
      <c r="B46" s="795"/>
      <c r="C46" s="521"/>
      <c r="D46" s="522"/>
      <c r="E46" s="521"/>
      <c r="F46" s="522"/>
      <c r="G46" s="521"/>
      <c r="H46" s="522"/>
      <c r="I46" s="313"/>
    </row>
    <row r="47" spans="1:9" ht="12.75" customHeight="1" x14ac:dyDescent="0.2">
      <c r="A47" s="319"/>
      <c r="B47" s="319"/>
      <c r="C47" s="313"/>
      <c r="D47" s="313"/>
      <c r="E47" s="313"/>
      <c r="F47" s="313"/>
      <c r="G47" s="320"/>
      <c r="H47" s="313"/>
      <c r="I47" s="313"/>
    </row>
    <row r="48" spans="1:9" ht="12.75" customHeight="1" x14ac:dyDescent="0.2">
      <c r="A48" s="544" t="s">
        <v>420</v>
      </c>
      <c r="B48" s="544" t="s">
        <v>677</v>
      </c>
      <c r="C48" s="544" t="s">
        <v>678</v>
      </c>
      <c r="D48" s="544" t="s">
        <v>679</v>
      </c>
      <c r="E48" s="544" t="s">
        <v>680</v>
      </c>
      <c r="F48" s="544" t="s">
        <v>646</v>
      </c>
      <c r="G48" s="544" t="s">
        <v>672</v>
      </c>
      <c r="H48" s="544" t="s">
        <v>542</v>
      </c>
      <c r="I48" s="313"/>
    </row>
    <row r="49" spans="1:9" ht="12.75" customHeight="1" x14ac:dyDescent="0.2">
      <c r="A49" s="544"/>
      <c r="B49" s="544"/>
      <c r="C49" s="544"/>
      <c r="D49" s="544"/>
      <c r="E49" s="544"/>
      <c r="F49" s="544"/>
      <c r="G49" s="544"/>
      <c r="H49" s="544"/>
      <c r="I49" s="313"/>
    </row>
    <row r="50" spans="1:9" ht="12.75" customHeight="1" x14ac:dyDescent="0.2">
      <c r="A50" s="544"/>
      <c r="B50" s="544"/>
      <c r="C50" s="544"/>
      <c r="D50" s="544"/>
      <c r="E50" s="544"/>
      <c r="F50" s="544"/>
      <c r="G50" s="544"/>
      <c r="H50" s="544"/>
      <c r="I50" s="313"/>
    </row>
    <row r="51" spans="1:9" ht="12.75" customHeight="1" x14ac:dyDescent="0.2">
      <c r="A51" s="959" t="s">
        <v>428</v>
      </c>
      <c r="B51" s="959"/>
      <c r="C51" s="959"/>
      <c r="D51" s="959"/>
      <c r="E51" s="959"/>
      <c r="F51" s="959"/>
      <c r="G51" s="959"/>
      <c r="H51" s="959"/>
      <c r="I51" s="313"/>
    </row>
    <row r="52" spans="1:9" s="287" customFormat="1" ht="12.75" customHeight="1" outlineLevel="1" x14ac:dyDescent="0.2">
      <c r="A52" s="960">
        <v>1</v>
      </c>
      <c r="B52" s="961" t="s">
        <v>663</v>
      </c>
      <c r="C52" s="1008" t="s">
        <v>279</v>
      </c>
      <c r="D52" s="960" t="s">
        <v>279</v>
      </c>
      <c r="E52" s="960" t="s">
        <v>279</v>
      </c>
      <c r="F52" s="973" t="s">
        <v>681</v>
      </c>
      <c r="G52" s="1009">
        <v>43584</v>
      </c>
      <c r="H52" s="967" t="s">
        <v>432</v>
      </c>
      <c r="I52" s="321"/>
    </row>
    <row r="53" spans="1:9" s="287" customFormat="1" ht="12.75" customHeight="1" outlineLevel="1" x14ac:dyDescent="0.2">
      <c r="A53" s="960"/>
      <c r="B53" s="961"/>
      <c r="C53" s="964"/>
      <c r="D53" s="960"/>
      <c r="E53" s="960"/>
      <c r="F53" s="960"/>
      <c r="G53" s="963"/>
      <c r="H53" s="967"/>
      <c r="I53" s="321"/>
    </row>
    <row r="54" spans="1:9" s="287" customFormat="1" ht="12.75" customHeight="1" outlineLevel="1" x14ac:dyDescent="0.2">
      <c r="A54" s="960"/>
      <c r="B54" s="960"/>
      <c r="C54" s="965"/>
      <c r="D54" s="960"/>
      <c r="E54" s="960"/>
      <c r="F54" s="960"/>
      <c r="G54" s="966"/>
      <c r="H54" s="967"/>
      <c r="I54" s="321"/>
    </row>
    <row r="55" spans="1:9" ht="12.75" customHeight="1" x14ac:dyDescent="0.2">
      <c r="A55" s="968" t="s">
        <v>436</v>
      </c>
      <c r="B55" s="969"/>
      <c r="C55" s="970"/>
      <c r="D55" s="970"/>
      <c r="E55" s="970"/>
      <c r="F55" s="970"/>
      <c r="G55" s="970"/>
      <c r="H55" s="971"/>
      <c r="I55" s="313"/>
    </row>
    <row r="56" spans="1:9" ht="12.75" customHeight="1" outlineLevel="1" x14ac:dyDescent="0.2">
      <c r="A56" s="960"/>
      <c r="B56" s="961"/>
      <c r="C56" s="960"/>
      <c r="D56" s="960"/>
      <c r="E56" s="960"/>
      <c r="F56" s="960"/>
      <c r="G56" s="973"/>
      <c r="H56" s="974"/>
    </row>
    <row r="57" spans="1:9" ht="12.75" customHeight="1" outlineLevel="1" x14ac:dyDescent="0.2">
      <c r="A57" s="960"/>
      <c r="B57" s="961"/>
      <c r="C57" s="960"/>
      <c r="D57" s="960"/>
      <c r="E57" s="960"/>
      <c r="F57" s="960"/>
      <c r="G57" s="973"/>
      <c r="H57" s="974"/>
    </row>
    <row r="58" spans="1:9" ht="12.75" customHeight="1" outlineLevel="1" x14ac:dyDescent="0.2">
      <c r="A58" s="960"/>
      <c r="B58" s="961"/>
      <c r="C58" s="960"/>
      <c r="D58" s="960"/>
      <c r="E58" s="960"/>
      <c r="F58" s="960"/>
      <c r="G58" s="973"/>
      <c r="H58" s="974"/>
    </row>
    <row r="59" spans="1:9" ht="12.75" customHeight="1" x14ac:dyDescent="0.2">
      <c r="A59" s="976" t="s">
        <v>437</v>
      </c>
      <c r="B59" s="970"/>
      <c r="C59" s="970"/>
      <c r="D59" s="970"/>
      <c r="E59" s="970"/>
      <c r="F59" s="970"/>
      <c r="G59" s="970"/>
      <c r="H59" s="971"/>
    </row>
    <row r="60" spans="1:9" ht="12.75" customHeight="1" outlineLevel="1" x14ac:dyDescent="0.2">
      <c r="A60" s="960"/>
      <c r="B60" s="961"/>
      <c r="C60" s="960"/>
      <c r="D60" s="960"/>
      <c r="E60" s="960"/>
      <c r="F60" s="960"/>
      <c r="G60" s="973"/>
      <c r="H60" s="974"/>
    </row>
    <row r="61" spans="1:9" ht="12.75" customHeight="1" outlineLevel="1" x14ac:dyDescent="0.2">
      <c r="A61" s="960"/>
      <c r="B61" s="961"/>
      <c r="C61" s="960"/>
      <c r="D61" s="960"/>
      <c r="E61" s="960"/>
      <c r="F61" s="960"/>
      <c r="G61" s="973"/>
      <c r="H61" s="974"/>
    </row>
    <row r="62" spans="1:9" ht="12.75" customHeight="1" outlineLevel="1" x14ac:dyDescent="0.2">
      <c r="A62" s="960"/>
      <c r="B62" s="961"/>
      <c r="C62" s="960"/>
      <c r="D62" s="960"/>
      <c r="E62" s="960"/>
      <c r="F62" s="960"/>
      <c r="G62" s="973"/>
      <c r="H62" s="974"/>
    </row>
    <row r="63" spans="1:9" ht="12.75" customHeight="1" x14ac:dyDescent="0.2">
      <c r="A63" s="312"/>
      <c r="B63" s="312"/>
      <c r="C63" s="1010"/>
      <c r="D63" s="1010"/>
      <c r="E63" s="312"/>
      <c r="F63" s="312"/>
      <c r="G63" s="312"/>
    </row>
    <row r="64" spans="1:9" ht="12.75" customHeight="1" x14ac:dyDescent="0.2">
      <c r="A64" s="282"/>
      <c r="B64" s="282"/>
      <c r="C64" s="506" t="s">
        <v>409</v>
      </c>
      <c r="D64" s="507"/>
      <c r="E64" s="504" t="s">
        <v>410</v>
      </c>
      <c r="F64" s="504"/>
      <c r="G64" s="505" t="s">
        <v>437</v>
      </c>
      <c r="H64" s="505"/>
    </row>
    <row r="65" spans="1:8" ht="12.75" customHeight="1" x14ac:dyDescent="0.2">
      <c r="A65" s="512" t="s">
        <v>438</v>
      </c>
      <c r="B65" s="556"/>
      <c r="C65" s="748" t="s">
        <v>439</v>
      </c>
      <c r="D65" s="749"/>
      <c r="E65" s="540"/>
      <c r="F65" s="541"/>
      <c r="G65" s="557"/>
      <c r="H65" s="558"/>
    </row>
    <row r="66" spans="1:8" ht="12.75" customHeight="1" x14ac:dyDescent="0.2">
      <c r="A66" s="512" t="s">
        <v>440</v>
      </c>
      <c r="B66" s="556"/>
      <c r="C66" s="748">
        <v>43665</v>
      </c>
      <c r="D66" s="749"/>
      <c r="E66" s="540"/>
      <c r="F66" s="541"/>
      <c r="G66" s="557"/>
      <c r="H66" s="558"/>
    </row>
    <row r="67" spans="1:8" ht="12.75" customHeight="1" x14ac:dyDescent="0.2">
      <c r="A67" s="512" t="s">
        <v>441</v>
      </c>
      <c r="B67" s="556"/>
      <c r="C67" s="582" t="s">
        <v>330</v>
      </c>
      <c r="D67" s="583"/>
      <c r="E67" s="557" t="s">
        <v>392</v>
      </c>
      <c r="F67" s="558"/>
      <c r="G67" s="557" t="s">
        <v>392</v>
      </c>
      <c r="H67" s="558"/>
    </row>
    <row r="68" spans="1:8" ht="12.75" customHeight="1" x14ac:dyDescent="0.2">
      <c r="A68" s="312"/>
      <c r="B68" s="312"/>
      <c r="C68" s="312"/>
      <c r="D68" s="312"/>
      <c r="E68" s="312"/>
      <c r="F68" s="312"/>
      <c r="G68" s="312"/>
      <c r="H68" s="312"/>
    </row>
    <row r="69" spans="1:8" ht="12.75" customHeight="1" x14ac:dyDescent="0.2">
      <c r="A69" s="977" t="s">
        <v>442</v>
      </c>
      <c r="B69" s="978"/>
      <c r="C69" s="312"/>
      <c r="D69" s="312"/>
      <c r="E69" s="312"/>
      <c r="F69" s="312"/>
      <c r="G69" s="312"/>
    </row>
    <row r="70" spans="1:8" ht="12.75" customHeight="1" x14ac:dyDescent="0.2">
      <c r="A70" s="979" t="s">
        <v>279</v>
      </c>
      <c r="B70" s="980"/>
      <c r="C70" s="983" t="s">
        <v>443</v>
      </c>
      <c r="D70" s="984"/>
      <c r="E70" s="984"/>
      <c r="F70" s="984"/>
      <c r="G70" s="984"/>
      <c r="H70" s="985"/>
    </row>
    <row r="71" spans="1:8" ht="12.75" customHeight="1" x14ac:dyDescent="0.2">
      <c r="A71" s="981"/>
      <c r="B71" s="982"/>
      <c r="C71" s="986"/>
      <c r="D71" s="987"/>
      <c r="E71" s="987"/>
      <c r="F71" s="987"/>
      <c r="G71" s="987"/>
      <c r="H71" s="988"/>
    </row>
    <row r="72" spans="1:8" ht="12.75" customHeight="1" x14ac:dyDescent="0.2">
      <c r="A72" s="989" t="s">
        <v>432</v>
      </c>
      <c r="B72" s="990"/>
      <c r="C72" s="983" t="s">
        <v>444</v>
      </c>
      <c r="D72" s="984"/>
      <c r="E72" s="984"/>
      <c r="F72" s="984"/>
      <c r="G72" s="984"/>
      <c r="H72" s="985"/>
    </row>
    <row r="73" spans="1:8" ht="12.75" customHeight="1" x14ac:dyDescent="0.2">
      <c r="A73" s="991"/>
      <c r="B73" s="992"/>
      <c r="C73" s="986"/>
      <c r="D73" s="987"/>
      <c r="E73" s="987"/>
      <c r="F73" s="987"/>
      <c r="G73" s="987"/>
      <c r="H73" s="988"/>
    </row>
    <row r="75" spans="1:8" ht="12.75" customHeight="1" x14ac:dyDescent="0.2">
      <c r="A75" s="843" t="s">
        <v>370</v>
      </c>
      <c r="B75" s="843"/>
      <c r="C75" s="843"/>
      <c r="D75" s="843"/>
      <c r="E75" s="843"/>
      <c r="F75" s="843"/>
      <c r="G75" s="843"/>
      <c r="H75" s="843"/>
    </row>
    <row r="76" spans="1:8" ht="12.75" customHeight="1" x14ac:dyDescent="0.2">
      <c r="A76" s="283" t="s">
        <v>449</v>
      </c>
      <c r="B76" s="283" t="s">
        <v>450</v>
      </c>
      <c r="C76" s="283" t="s">
        <v>451</v>
      </c>
      <c r="D76" s="843" t="s">
        <v>452</v>
      </c>
      <c r="E76" s="843"/>
      <c r="F76" s="843"/>
      <c r="G76" s="843"/>
      <c r="H76" s="843"/>
    </row>
    <row r="77" spans="1:8" ht="12.75" customHeight="1" x14ac:dyDescent="0.2">
      <c r="A77" s="908" t="s">
        <v>83</v>
      </c>
      <c r="B77" s="908" t="s">
        <v>454</v>
      </c>
      <c r="C77" s="913"/>
      <c r="D77" s="894" t="s">
        <v>456</v>
      </c>
      <c r="E77" s="895" t="s">
        <v>457</v>
      </c>
      <c r="F77" s="895"/>
      <c r="G77" s="801" t="s">
        <v>712</v>
      </c>
      <c r="H77" s="801"/>
    </row>
    <row r="78" spans="1:8" ht="12.75" customHeight="1" x14ac:dyDescent="0.2">
      <c r="A78" s="908"/>
      <c r="B78" s="908"/>
      <c r="C78" s="913"/>
      <c r="D78" s="894"/>
      <c r="E78" s="895"/>
      <c r="F78" s="895"/>
      <c r="G78" s="801"/>
      <c r="H78" s="801"/>
    </row>
    <row r="79" spans="1:8" ht="12.75" customHeight="1" x14ac:dyDescent="0.2">
      <c r="A79" s="908"/>
      <c r="B79" s="908"/>
      <c r="C79" s="913"/>
      <c r="D79" s="894"/>
      <c r="E79" s="895"/>
      <c r="F79" s="895"/>
      <c r="G79" s="801"/>
      <c r="H79" s="801"/>
    </row>
    <row r="80" spans="1:8" ht="12.75" customHeight="1" x14ac:dyDescent="0.2">
      <c r="A80" s="908"/>
      <c r="B80" s="908"/>
      <c r="C80" s="913"/>
      <c r="D80" s="894"/>
      <c r="E80" s="895"/>
      <c r="F80" s="895"/>
      <c r="G80" s="801"/>
      <c r="H80" s="801"/>
    </row>
    <row r="81" spans="1:8" ht="12.75" customHeight="1" x14ac:dyDescent="0.2">
      <c r="A81" s="908"/>
      <c r="B81" s="908"/>
      <c r="C81" s="913"/>
      <c r="D81" s="894"/>
      <c r="E81" s="895"/>
      <c r="F81" s="895"/>
      <c r="G81" s="801"/>
      <c r="H81" s="801"/>
    </row>
    <row r="82" spans="1:8" ht="12.75" customHeight="1" x14ac:dyDescent="0.2">
      <c r="A82" s="908"/>
      <c r="B82" s="908"/>
      <c r="C82" s="913"/>
      <c r="D82" s="894" t="s">
        <v>458</v>
      </c>
      <c r="E82" s="895" t="s">
        <v>459</v>
      </c>
      <c r="F82" s="895"/>
      <c r="G82" s="801" t="s">
        <v>712</v>
      </c>
      <c r="H82" s="801"/>
    </row>
    <row r="83" spans="1:8" ht="12.75" customHeight="1" x14ac:dyDescent="0.2">
      <c r="A83" s="908"/>
      <c r="B83" s="908"/>
      <c r="C83" s="913"/>
      <c r="D83" s="894"/>
      <c r="E83" s="895"/>
      <c r="F83" s="895"/>
      <c r="G83" s="801"/>
      <c r="H83" s="801"/>
    </row>
    <row r="84" spans="1:8" ht="12.75" customHeight="1" x14ac:dyDescent="0.2">
      <c r="A84" s="908"/>
      <c r="B84" s="908"/>
      <c r="C84" s="913"/>
      <c r="D84" s="894"/>
      <c r="E84" s="895"/>
      <c r="F84" s="895"/>
      <c r="G84" s="801"/>
      <c r="H84" s="801"/>
    </row>
    <row r="85" spans="1:8" ht="12.75" customHeight="1" x14ac:dyDescent="0.2">
      <c r="A85" s="908"/>
      <c r="B85" s="908"/>
      <c r="C85" s="913"/>
      <c r="D85" s="894"/>
      <c r="E85" s="895"/>
      <c r="F85" s="895"/>
      <c r="G85" s="801"/>
      <c r="H85" s="801"/>
    </row>
    <row r="86" spans="1:8" ht="12.75" customHeight="1" x14ac:dyDescent="0.2">
      <c r="A86" s="908"/>
      <c r="B86" s="908"/>
      <c r="C86" s="913"/>
      <c r="D86" s="894"/>
      <c r="E86" s="895"/>
      <c r="F86" s="895"/>
      <c r="G86" s="801"/>
      <c r="H86" s="801"/>
    </row>
    <row r="87" spans="1:8" ht="12.75" customHeight="1" x14ac:dyDescent="0.2">
      <c r="A87" s="908"/>
      <c r="B87" s="908"/>
      <c r="C87" s="913"/>
      <c r="D87" s="894" t="s">
        <v>460</v>
      </c>
      <c r="E87" s="895" t="s">
        <v>461</v>
      </c>
      <c r="F87" s="895"/>
      <c r="G87" s="801" t="s">
        <v>712</v>
      </c>
      <c r="H87" s="801"/>
    </row>
    <row r="88" spans="1:8" ht="12.75" customHeight="1" x14ac:dyDescent="0.2">
      <c r="A88" s="908"/>
      <c r="B88" s="908"/>
      <c r="C88" s="913"/>
      <c r="D88" s="894"/>
      <c r="E88" s="895"/>
      <c r="F88" s="895"/>
      <c r="G88" s="801"/>
      <c r="H88" s="801"/>
    </row>
    <row r="89" spans="1:8" ht="12.75" customHeight="1" x14ac:dyDescent="0.2">
      <c r="A89" s="908"/>
      <c r="B89" s="908"/>
      <c r="C89" s="913"/>
      <c r="D89" s="894"/>
      <c r="E89" s="895"/>
      <c r="F89" s="895"/>
      <c r="G89" s="801"/>
      <c r="H89" s="801"/>
    </row>
    <row r="90" spans="1:8" ht="12.75" customHeight="1" x14ac:dyDescent="0.2">
      <c r="A90" s="908"/>
      <c r="B90" s="908"/>
      <c r="C90" s="913"/>
      <c r="D90" s="894"/>
      <c r="E90" s="895"/>
      <c r="F90" s="895"/>
      <c r="G90" s="801"/>
      <c r="H90" s="801"/>
    </row>
    <row r="91" spans="1:8" ht="12.75" customHeight="1" x14ac:dyDescent="0.2">
      <c r="A91" s="908"/>
      <c r="B91" s="908"/>
      <c r="C91" s="913"/>
      <c r="D91" s="894"/>
      <c r="E91" s="895"/>
      <c r="F91" s="895"/>
      <c r="G91" s="801"/>
      <c r="H91" s="801"/>
    </row>
    <row r="92" spans="1:8" ht="12.75" customHeight="1" x14ac:dyDescent="0.2">
      <c r="A92" s="908"/>
      <c r="B92" s="908"/>
      <c r="C92" s="913"/>
      <c r="D92" s="894"/>
      <c r="E92" s="895" t="s">
        <v>462</v>
      </c>
      <c r="F92" s="895"/>
      <c r="G92" s="912"/>
      <c r="H92" s="912"/>
    </row>
    <row r="93" spans="1:8" ht="12.75" customHeight="1" x14ac:dyDescent="0.2">
      <c r="A93" s="908"/>
      <c r="B93" s="908"/>
      <c r="C93" s="913"/>
      <c r="D93" s="894"/>
      <c r="E93" s="895"/>
      <c r="F93" s="895"/>
      <c r="G93" s="912"/>
      <c r="H93" s="912"/>
    </row>
    <row r="94" spans="1:8" ht="12.75" customHeight="1" x14ac:dyDescent="0.2">
      <c r="A94" s="908"/>
      <c r="B94" s="908"/>
      <c r="C94" s="913"/>
      <c r="D94" s="894"/>
      <c r="E94" s="895" t="s">
        <v>463</v>
      </c>
      <c r="F94" s="895"/>
      <c r="G94" s="801" t="s">
        <v>712</v>
      </c>
      <c r="H94" s="801"/>
    </row>
    <row r="95" spans="1:8" ht="12.75" customHeight="1" x14ac:dyDescent="0.2">
      <c r="A95" s="908"/>
      <c r="B95" s="908"/>
      <c r="C95" s="913"/>
      <c r="D95" s="894"/>
      <c r="E95" s="895"/>
      <c r="F95" s="895"/>
      <c r="G95" s="801"/>
      <c r="H95" s="801"/>
    </row>
    <row r="96" spans="1:8" ht="12.75" customHeight="1" x14ac:dyDescent="0.2">
      <c r="A96" s="908"/>
      <c r="B96" s="908"/>
      <c r="C96" s="913"/>
      <c r="D96" s="894"/>
      <c r="E96" s="895"/>
      <c r="F96" s="895"/>
      <c r="G96" s="801"/>
      <c r="H96" s="801"/>
    </row>
    <row r="97" spans="1:8" ht="12.75" customHeight="1" x14ac:dyDescent="0.2">
      <c r="A97" s="908"/>
      <c r="B97" s="908"/>
      <c r="C97" s="913"/>
      <c r="D97" s="894"/>
      <c r="E97" s="895"/>
      <c r="F97" s="895"/>
      <c r="G97" s="801"/>
      <c r="H97" s="801"/>
    </row>
    <row r="98" spans="1:8" ht="12.75" customHeight="1" x14ac:dyDescent="0.2">
      <c r="A98" s="908"/>
      <c r="B98" s="908"/>
      <c r="C98" s="913"/>
      <c r="D98" s="894"/>
      <c r="E98" s="895"/>
      <c r="F98" s="895"/>
      <c r="G98" s="801"/>
      <c r="H98" s="801"/>
    </row>
    <row r="99" spans="1:8" ht="12.75" customHeight="1" x14ac:dyDescent="0.2">
      <c r="A99" s="908"/>
      <c r="B99" s="908"/>
      <c r="C99" s="913"/>
      <c r="D99" s="894"/>
      <c r="E99" s="895" t="s">
        <v>464</v>
      </c>
      <c r="F99" s="895"/>
      <c r="G99" s="912"/>
      <c r="H99" s="912"/>
    </row>
    <row r="100" spans="1:8" ht="12.75" customHeight="1" x14ac:dyDescent="0.2">
      <c r="A100" s="908"/>
      <c r="B100" s="908"/>
      <c r="C100" s="913"/>
      <c r="D100" s="894"/>
      <c r="E100" s="895"/>
      <c r="F100" s="895"/>
      <c r="G100" s="912"/>
      <c r="H100" s="912"/>
    </row>
    <row r="101" spans="1:8" ht="12.75" customHeight="1" x14ac:dyDescent="0.2">
      <c r="A101" s="908"/>
      <c r="B101" s="908"/>
      <c r="C101" s="913"/>
      <c r="D101" s="894" t="s">
        <v>465</v>
      </c>
      <c r="E101" s="895" t="s">
        <v>466</v>
      </c>
      <c r="F101" s="895"/>
      <c r="G101" s="801" t="s">
        <v>708</v>
      </c>
      <c r="H101" s="801"/>
    </row>
    <row r="102" spans="1:8" ht="12.75" customHeight="1" x14ac:dyDescent="0.2">
      <c r="A102" s="908"/>
      <c r="B102" s="908"/>
      <c r="C102" s="913"/>
      <c r="D102" s="894"/>
      <c r="E102" s="895"/>
      <c r="F102" s="895"/>
      <c r="G102" s="801"/>
      <c r="H102" s="801"/>
    </row>
    <row r="103" spans="1:8" ht="12.75" customHeight="1" x14ac:dyDescent="0.2">
      <c r="A103" s="908"/>
      <c r="B103" s="908"/>
      <c r="C103" s="913"/>
      <c r="D103" s="894"/>
      <c r="E103" s="895"/>
      <c r="F103" s="895"/>
      <c r="G103" s="801"/>
      <c r="H103" s="801"/>
    </row>
    <row r="104" spans="1:8" ht="12.75" customHeight="1" x14ac:dyDescent="0.2">
      <c r="A104" s="908"/>
      <c r="B104" s="908"/>
      <c r="C104" s="913"/>
      <c r="D104" s="894"/>
      <c r="E104" s="895"/>
      <c r="F104" s="895"/>
      <c r="G104" s="801"/>
      <c r="H104" s="801"/>
    </row>
    <row r="105" spans="1:8" ht="12.75" customHeight="1" x14ac:dyDescent="0.2">
      <c r="A105" s="908"/>
      <c r="B105" s="908"/>
      <c r="C105" s="913"/>
      <c r="D105" s="894"/>
      <c r="E105" s="895"/>
      <c r="F105" s="895"/>
      <c r="G105" s="801"/>
      <c r="H105" s="801"/>
    </row>
    <row r="106" spans="1:8" ht="12.75" customHeight="1" x14ac:dyDescent="0.2">
      <c r="A106" s="908"/>
      <c r="B106" s="908"/>
      <c r="C106" s="913"/>
      <c r="D106" s="894"/>
      <c r="E106" s="895" t="s">
        <v>467</v>
      </c>
      <c r="F106" s="895"/>
      <c r="G106" s="912"/>
      <c r="H106" s="912"/>
    </row>
    <row r="107" spans="1:8" ht="12.75" customHeight="1" x14ac:dyDescent="0.2">
      <c r="A107" s="908"/>
      <c r="B107" s="908"/>
      <c r="C107" s="913"/>
      <c r="D107" s="894"/>
      <c r="E107" s="895"/>
      <c r="F107" s="895"/>
      <c r="G107" s="912"/>
      <c r="H107" s="912"/>
    </row>
    <row r="108" spans="1:8" ht="12.75" customHeight="1" x14ac:dyDescent="0.2">
      <c r="A108" s="908" t="s">
        <v>87</v>
      </c>
      <c r="B108" s="908" t="s">
        <v>454</v>
      </c>
      <c r="C108" s="915" t="s">
        <v>713</v>
      </c>
      <c r="D108" s="894" t="s">
        <v>456</v>
      </c>
      <c r="E108" s="895" t="s">
        <v>457</v>
      </c>
      <c r="F108" s="895"/>
      <c r="G108" s="801" t="s">
        <v>716</v>
      </c>
      <c r="H108" s="801"/>
    </row>
    <row r="109" spans="1:8" ht="12.75" customHeight="1" x14ac:dyDescent="0.2">
      <c r="A109" s="908"/>
      <c r="B109" s="908"/>
      <c r="C109" s="915"/>
      <c r="D109" s="894"/>
      <c r="E109" s="895"/>
      <c r="F109" s="895"/>
      <c r="G109" s="801"/>
      <c r="H109" s="801"/>
    </row>
    <row r="110" spans="1:8" ht="12.75" customHeight="1" x14ac:dyDescent="0.2">
      <c r="A110" s="908"/>
      <c r="B110" s="908"/>
      <c r="C110" s="915"/>
      <c r="D110" s="894"/>
      <c r="E110" s="895"/>
      <c r="F110" s="895"/>
      <c r="G110" s="801"/>
      <c r="H110" s="801"/>
    </row>
    <row r="111" spans="1:8" ht="12.75" customHeight="1" x14ac:dyDescent="0.2">
      <c r="A111" s="908"/>
      <c r="B111" s="908"/>
      <c r="C111" s="915"/>
      <c r="D111" s="894"/>
      <c r="E111" s="895"/>
      <c r="F111" s="895"/>
      <c r="G111" s="801"/>
      <c r="H111" s="801"/>
    </row>
    <row r="112" spans="1:8" ht="12.75" customHeight="1" x14ac:dyDescent="0.2">
      <c r="A112" s="908"/>
      <c r="B112" s="908"/>
      <c r="C112" s="915"/>
      <c r="D112" s="894"/>
      <c r="E112" s="895"/>
      <c r="F112" s="895"/>
      <c r="G112" s="801"/>
      <c r="H112" s="801"/>
    </row>
    <row r="113" spans="1:8" ht="12.75" customHeight="1" x14ac:dyDescent="0.2">
      <c r="A113" s="908"/>
      <c r="B113" s="908"/>
      <c r="C113" s="915"/>
      <c r="D113" s="894" t="s">
        <v>458</v>
      </c>
      <c r="E113" s="895" t="s">
        <v>459</v>
      </c>
      <c r="F113" s="895"/>
      <c r="G113" s="801" t="s">
        <v>716</v>
      </c>
      <c r="H113" s="801"/>
    </row>
    <row r="114" spans="1:8" ht="12.75" customHeight="1" x14ac:dyDescent="0.2">
      <c r="A114" s="908"/>
      <c r="B114" s="908"/>
      <c r="C114" s="915"/>
      <c r="D114" s="894"/>
      <c r="E114" s="895"/>
      <c r="F114" s="895"/>
      <c r="G114" s="801"/>
      <c r="H114" s="801"/>
    </row>
    <row r="115" spans="1:8" ht="12.75" customHeight="1" x14ac:dyDescent="0.2">
      <c r="A115" s="908"/>
      <c r="B115" s="908"/>
      <c r="C115" s="915"/>
      <c r="D115" s="894"/>
      <c r="E115" s="895"/>
      <c r="F115" s="895"/>
      <c r="G115" s="801"/>
      <c r="H115" s="801"/>
    </row>
    <row r="116" spans="1:8" ht="12.75" customHeight="1" x14ac:dyDescent="0.2">
      <c r="A116" s="908"/>
      <c r="B116" s="908"/>
      <c r="C116" s="915"/>
      <c r="D116" s="894"/>
      <c r="E116" s="895"/>
      <c r="F116" s="895"/>
      <c r="G116" s="801"/>
      <c r="H116" s="801"/>
    </row>
    <row r="117" spans="1:8" ht="12.75" customHeight="1" x14ac:dyDescent="0.2">
      <c r="A117" s="908"/>
      <c r="B117" s="908"/>
      <c r="C117" s="915"/>
      <c r="D117" s="894"/>
      <c r="E117" s="895"/>
      <c r="F117" s="895"/>
      <c r="G117" s="801"/>
      <c r="H117" s="801"/>
    </row>
    <row r="118" spans="1:8" ht="12.75" customHeight="1" x14ac:dyDescent="0.2">
      <c r="A118" s="908"/>
      <c r="B118" s="908"/>
      <c r="C118" s="915"/>
      <c r="D118" s="894" t="s">
        <v>460</v>
      </c>
      <c r="E118" s="895" t="s">
        <v>461</v>
      </c>
      <c r="F118" s="895"/>
      <c r="G118" s="801" t="s">
        <v>716</v>
      </c>
      <c r="H118" s="801"/>
    </row>
    <row r="119" spans="1:8" ht="12.75" customHeight="1" x14ac:dyDescent="0.2">
      <c r="A119" s="908"/>
      <c r="B119" s="908"/>
      <c r="C119" s="915"/>
      <c r="D119" s="894"/>
      <c r="E119" s="895"/>
      <c r="F119" s="895"/>
      <c r="G119" s="801"/>
      <c r="H119" s="801"/>
    </row>
    <row r="120" spans="1:8" ht="12.75" customHeight="1" x14ac:dyDescent="0.2">
      <c r="A120" s="908"/>
      <c r="B120" s="908"/>
      <c r="C120" s="915"/>
      <c r="D120" s="894"/>
      <c r="E120" s="895"/>
      <c r="F120" s="895"/>
      <c r="G120" s="801"/>
      <c r="H120" s="801"/>
    </row>
    <row r="121" spans="1:8" ht="12.75" customHeight="1" x14ac:dyDescent="0.2">
      <c r="A121" s="908"/>
      <c r="B121" s="908"/>
      <c r="C121" s="915"/>
      <c r="D121" s="894"/>
      <c r="E121" s="895"/>
      <c r="F121" s="895"/>
      <c r="G121" s="801"/>
      <c r="H121" s="801"/>
    </row>
    <row r="122" spans="1:8" ht="12.75" customHeight="1" x14ac:dyDescent="0.2">
      <c r="A122" s="908"/>
      <c r="B122" s="908"/>
      <c r="C122" s="915"/>
      <c r="D122" s="894"/>
      <c r="E122" s="895"/>
      <c r="F122" s="895"/>
      <c r="G122" s="801"/>
      <c r="H122" s="801"/>
    </row>
    <row r="123" spans="1:8" ht="12.75" customHeight="1" x14ac:dyDescent="0.2">
      <c r="A123" s="908"/>
      <c r="B123" s="908"/>
      <c r="C123" s="915"/>
      <c r="D123" s="894"/>
      <c r="E123" s="895" t="s">
        <v>462</v>
      </c>
      <c r="F123" s="895"/>
      <c r="G123" s="912" t="s">
        <v>279</v>
      </c>
      <c r="H123" s="912"/>
    </row>
    <row r="124" spans="1:8" ht="12.75" customHeight="1" x14ac:dyDescent="0.2">
      <c r="A124" s="908"/>
      <c r="B124" s="908"/>
      <c r="C124" s="915"/>
      <c r="D124" s="894"/>
      <c r="E124" s="895"/>
      <c r="F124" s="895"/>
      <c r="G124" s="912"/>
      <c r="H124" s="912"/>
    </row>
    <row r="125" spans="1:8" ht="12.75" customHeight="1" x14ac:dyDescent="0.2">
      <c r="A125" s="908"/>
      <c r="B125" s="908"/>
      <c r="C125" s="915"/>
      <c r="D125" s="894"/>
      <c r="E125" s="895" t="s">
        <v>463</v>
      </c>
      <c r="F125" s="895"/>
      <c r="G125" s="801" t="s">
        <v>716</v>
      </c>
      <c r="H125" s="801"/>
    </row>
    <row r="126" spans="1:8" ht="12.75" customHeight="1" x14ac:dyDescent="0.2">
      <c r="A126" s="908"/>
      <c r="B126" s="908"/>
      <c r="C126" s="915"/>
      <c r="D126" s="894"/>
      <c r="E126" s="895"/>
      <c r="F126" s="895"/>
      <c r="G126" s="801"/>
      <c r="H126" s="801"/>
    </row>
    <row r="127" spans="1:8" ht="12.75" customHeight="1" x14ac:dyDescent="0.2">
      <c r="A127" s="908"/>
      <c r="B127" s="908"/>
      <c r="C127" s="915"/>
      <c r="D127" s="894"/>
      <c r="E127" s="895"/>
      <c r="F127" s="895"/>
      <c r="G127" s="801"/>
      <c r="H127" s="801"/>
    </row>
    <row r="128" spans="1:8" ht="12.75" customHeight="1" x14ac:dyDescent="0.2">
      <c r="A128" s="908"/>
      <c r="B128" s="908"/>
      <c r="C128" s="915"/>
      <c r="D128" s="894"/>
      <c r="E128" s="895"/>
      <c r="F128" s="895"/>
      <c r="G128" s="801"/>
      <c r="H128" s="801"/>
    </row>
    <row r="129" spans="1:8" ht="12.75" customHeight="1" x14ac:dyDescent="0.2">
      <c r="A129" s="908"/>
      <c r="B129" s="908"/>
      <c r="C129" s="915"/>
      <c r="D129" s="894"/>
      <c r="E129" s="895"/>
      <c r="F129" s="895"/>
      <c r="G129" s="801"/>
      <c r="H129" s="801"/>
    </row>
    <row r="130" spans="1:8" ht="12.75" customHeight="1" x14ac:dyDescent="0.2">
      <c r="A130" s="908"/>
      <c r="B130" s="908"/>
      <c r="C130" s="915"/>
      <c r="D130" s="894"/>
      <c r="E130" s="895" t="s">
        <v>464</v>
      </c>
      <c r="F130" s="895"/>
      <c r="G130" s="912" t="s">
        <v>279</v>
      </c>
      <c r="H130" s="912"/>
    </row>
    <row r="131" spans="1:8" ht="12.75" customHeight="1" x14ac:dyDescent="0.2">
      <c r="A131" s="908"/>
      <c r="B131" s="908"/>
      <c r="C131" s="915"/>
      <c r="D131" s="894"/>
      <c r="E131" s="895"/>
      <c r="F131" s="895"/>
      <c r="G131" s="912"/>
      <c r="H131" s="912"/>
    </row>
    <row r="132" spans="1:8" ht="12.75" customHeight="1" x14ac:dyDescent="0.2">
      <c r="A132" s="908"/>
      <c r="B132" s="908"/>
      <c r="C132" s="915"/>
      <c r="D132" s="894" t="s">
        <v>465</v>
      </c>
      <c r="E132" s="895" t="s">
        <v>466</v>
      </c>
      <c r="F132" s="895"/>
      <c r="G132" s="801" t="s">
        <v>708</v>
      </c>
      <c r="H132" s="801"/>
    </row>
    <row r="133" spans="1:8" ht="12.75" customHeight="1" x14ac:dyDescent="0.2">
      <c r="A133" s="908"/>
      <c r="B133" s="908"/>
      <c r="C133" s="915"/>
      <c r="D133" s="894"/>
      <c r="E133" s="895"/>
      <c r="F133" s="895"/>
      <c r="G133" s="801"/>
      <c r="H133" s="801"/>
    </row>
    <row r="134" spans="1:8" ht="12.75" customHeight="1" x14ac:dyDescent="0.2">
      <c r="A134" s="908"/>
      <c r="B134" s="908"/>
      <c r="C134" s="915"/>
      <c r="D134" s="894"/>
      <c r="E134" s="895"/>
      <c r="F134" s="895"/>
      <c r="G134" s="801"/>
      <c r="H134" s="801"/>
    </row>
    <row r="135" spans="1:8" ht="12.75" customHeight="1" x14ac:dyDescent="0.2">
      <c r="A135" s="908"/>
      <c r="B135" s="908"/>
      <c r="C135" s="915"/>
      <c r="D135" s="894"/>
      <c r="E135" s="895"/>
      <c r="F135" s="895"/>
      <c r="G135" s="801"/>
      <c r="H135" s="801"/>
    </row>
    <row r="136" spans="1:8" ht="12.75" customHeight="1" x14ac:dyDescent="0.2">
      <c r="A136" s="908"/>
      <c r="B136" s="908"/>
      <c r="C136" s="915"/>
      <c r="D136" s="894"/>
      <c r="E136" s="895"/>
      <c r="F136" s="895"/>
      <c r="G136" s="801"/>
      <c r="H136" s="801"/>
    </row>
    <row r="137" spans="1:8" ht="12.75" customHeight="1" x14ac:dyDescent="0.2">
      <c r="A137" s="908"/>
      <c r="B137" s="908"/>
      <c r="C137" s="915"/>
      <c r="D137" s="894"/>
      <c r="E137" s="895" t="s">
        <v>467</v>
      </c>
      <c r="F137" s="895"/>
      <c r="G137" s="912"/>
      <c r="H137" s="912"/>
    </row>
    <row r="138" spans="1:8" ht="12.75" customHeight="1" x14ac:dyDescent="0.2">
      <c r="A138" s="908"/>
      <c r="B138" s="908"/>
      <c r="C138" s="915"/>
      <c r="D138" s="894"/>
      <c r="E138" s="895"/>
      <c r="F138" s="895"/>
      <c r="G138" s="912"/>
      <c r="H138" s="912"/>
    </row>
    <row r="139" spans="1:8" ht="12.75" customHeight="1" x14ac:dyDescent="0.2">
      <c r="A139" s="908" t="s">
        <v>91</v>
      </c>
      <c r="B139" s="908" t="s">
        <v>454</v>
      </c>
      <c r="C139" s="913" t="s">
        <v>713</v>
      </c>
      <c r="D139" s="894" t="s">
        <v>456</v>
      </c>
      <c r="E139" s="895" t="s">
        <v>457</v>
      </c>
      <c r="F139" s="895"/>
      <c r="G139" s="1011" t="s">
        <v>712</v>
      </c>
      <c r="H139" s="1012"/>
    </row>
    <row r="140" spans="1:8" ht="12.75" customHeight="1" x14ac:dyDescent="0.2">
      <c r="A140" s="908"/>
      <c r="B140" s="908"/>
      <c r="C140" s="913"/>
      <c r="D140" s="894"/>
      <c r="E140" s="895"/>
      <c r="F140" s="895"/>
      <c r="G140" s="1013"/>
      <c r="H140" s="1014"/>
    </row>
    <row r="141" spans="1:8" ht="12.75" customHeight="1" x14ac:dyDescent="0.2">
      <c r="A141" s="908"/>
      <c r="B141" s="908"/>
      <c r="C141" s="913"/>
      <c r="D141" s="894"/>
      <c r="E141" s="895"/>
      <c r="F141" s="895"/>
      <c r="G141" s="1013"/>
      <c r="H141" s="1014"/>
    </row>
    <row r="142" spans="1:8" ht="12.75" customHeight="1" x14ac:dyDescent="0.2">
      <c r="A142" s="908"/>
      <c r="B142" s="908"/>
      <c r="C142" s="913"/>
      <c r="D142" s="894"/>
      <c r="E142" s="895"/>
      <c r="F142" s="895"/>
      <c r="G142" s="1013"/>
      <c r="H142" s="1014"/>
    </row>
    <row r="143" spans="1:8" ht="12.75" customHeight="1" x14ac:dyDescent="0.2">
      <c r="A143" s="908"/>
      <c r="B143" s="908"/>
      <c r="C143" s="913"/>
      <c r="D143" s="894"/>
      <c r="E143" s="895"/>
      <c r="F143" s="895"/>
      <c r="G143" s="1015"/>
      <c r="H143" s="1016"/>
    </row>
    <row r="144" spans="1:8" ht="12.75" customHeight="1" x14ac:dyDescent="0.2">
      <c r="A144" s="908"/>
      <c r="B144" s="908"/>
      <c r="C144" s="913"/>
      <c r="D144" s="894" t="s">
        <v>458</v>
      </c>
      <c r="E144" s="895" t="s">
        <v>459</v>
      </c>
      <c r="F144" s="895"/>
      <c r="G144" s="1011" t="s">
        <v>712</v>
      </c>
      <c r="H144" s="1012"/>
    </row>
    <row r="145" spans="1:8" ht="12.75" customHeight="1" x14ac:dyDescent="0.2">
      <c r="A145" s="908"/>
      <c r="B145" s="908"/>
      <c r="C145" s="913"/>
      <c r="D145" s="894"/>
      <c r="E145" s="895"/>
      <c r="F145" s="895"/>
      <c r="G145" s="1013"/>
      <c r="H145" s="1014"/>
    </row>
    <row r="146" spans="1:8" ht="12.75" customHeight="1" x14ac:dyDescent="0.2">
      <c r="A146" s="908"/>
      <c r="B146" s="908"/>
      <c r="C146" s="913"/>
      <c r="D146" s="894"/>
      <c r="E146" s="895"/>
      <c r="F146" s="895"/>
      <c r="G146" s="1013"/>
      <c r="H146" s="1014"/>
    </row>
    <row r="147" spans="1:8" ht="12.75" customHeight="1" x14ac:dyDescent="0.2">
      <c r="A147" s="908"/>
      <c r="B147" s="908"/>
      <c r="C147" s="913"/>
      <c r="D147" s="894"/>
      <c r="E147" s="895"/>
      <c r="F147" s="895"/>
      <c r="G147" s="1013"/>
      <c r="H147" s="1014"/>
    </row>
    <row r="148" spans="1:8" ht="12.75" customHeight="1" x14ac:dyDescent="0.2">
      <c r="A148" s="908"/>
      <c r="B148" s="908"/>
      <c r="C148" s="913"/>
      <c r="D148" s="894"/>
      <c r="E148" s="895"/>
      <c r="F148" s="895"/>
      <c r="G148" s="1015"/>
      <c r="H148" s="1016"/>
    </row>
    <row r="149" spans="1:8" ht="12.75" customHeight="1" x14ac:dyDescent="0.2">
      <c r="A149" s="908"/>
      <c r="B149" s="908"/>
      <c r="C149" s="913"/>
      <c r="D149" s="894" t="s">
        <v>460</v>
      </c>
      <c r="E149" s="895" t="s">
        <v>461</v>
      </c>
      <c r="F149" s="895"/>
      <c r="G149" s="1011" t="s">
        <v>712</v>
      </c>
      <c r="H149" s="1012"/>
    </row>
    <row r="150" spans="1:8" ht="12.75" customHeight="1" x14ac:dyDescent="0.2">
      <c r="A150" s="908"/>
      <c r="B150" s="908"/>
      <c r="C150" s="913"/>
      <c r="D150" s="894"/>
      <c r="E150" s="895"/>
      <c r="F150" s="895"/>
      <c r="G150" s="1013"/>
      <c r="H150" s="1014"/>
    </row>
    <row r="151" spans="1:8" ht="12.75" customHeight="1" x14ac:dyDescent="0.2">
      <c r="A151" s="908"/>
      <c r="B151" s="908"/>
      <c r="C151" s="913"/>
      <c r="D151" s="894"/>
      <c r="E151" s="895"/>
      <c r="F151" s="895"/>
      <c r="G151" s="1013"/>
      <c r="H151" s="1014"/>
    </row>
    <row r="152" spans="1:8" ht="12.75" customHeight="1" x14ac:dyDescent="0.2">
      <c r="A152" s="908"/>
      <c r="B152" s="908"/>
      <c r="C152" s="913"/>
      <c r="D152" s="894"/>
      <c r="E152" s="895"/>
      <c r="F152" s="895"/>
      <c r="G152" s="1013"/>
      <c r="H152" s="1014"/>
    </row>
    <row r="153" spans="1:8" ht="12.75" customHeight="1" x14ac:dyDescent="0.2">
      <c r="A153" s="908"/>
      <c r="B153" s="908"/>
      <c r="C153" s="913"/>
      <c r="D153" s="894"/>
      <c r="E153" s="895"/>
      <c r="F153" s="895"/>
      <c r="G153" s="1015"/>
      <c r="H153" s="1016"/>
    </row>
    <row r="154" spans="1:8" ht="12.75" customHeight="1" x14ac:dyDescent="0.2">
      <c r="A154" s="908"/>
      <c r="B154" s="908"/>
      <c r="C154" s="913"/>
      <c r="D154" s="894"/>
      <c r="E154" s="895" t="s">
        <v>462</v>
      </c>
      <c r="F154" s="895"/>
      <c r="G154" s="912" t="s">
        <v>279</v>
      </c>
      <c r="H154" s="912"/>
    </row>
    <row r="155" spans="1:8" ht="12.75" customHeight="1" x14ac:dyDescent="0.2">
      <c r="A155" s="908"/>
      <c r="B155" s="908"/>
      <c r="C155" s="913"/>
      <c r="D155" s="894"/>
      <c r="E155" s="895"/>
      <c r="F155" s="895"/>
      <c r="G155" s="912"/>
      <c r="H155" s="912"/>
    </row>
    <row r="156" spans="1:8" ht="12.75" customHeight="1" x14ac:dyDescent="0.2">
      <c r="A156" s="908"/>
      <c r="B156" s="908"/>
      <c r="C156" s="913"/>
      <c r="D156" s="894"/>
      <c r="E156" s="895" t="s">
        <v>463</v>
      </c>
      <c r="F156" s="895"/>
      <c r="G156" s="1011" t="s">
        <v>712</v>
      </c>
      <c r="H156" s="1012"/>
    </row>
    <row r="157" spans="1:8" ht="12.75" customHeight="1" x14ac:dyDescent="0.2">
      <c r="A157" s="908"/>
      <c r="B157" s="908"/>
      <c r="C157" s="913"/>
      <c r="D157" s="894"/>
      <c r="E157" s="895"/>
      <c r="F157" s="895"/>
      <c r="G157" s="1013"/>
      <c r="H157" s="1014"/>
    </row>
    <row r="158" spans="1:8" ht="12.75" customHeight="1" x14ac:dyDescent="0.2">
      <c r="A158" s="908"/>
      <c r="B158" s="908"/>
      <c r="C158" s="913"/>
      <c r="D158" s="894"/>
      <c r="E158" s="895"/>
      <c r="F158" s="895"/>
      <c r="G158" s="1013"/>
      <c r="H158" s="1014"/>
    </row>
    <row r="159" spans="1:8" ht="12.75" customHeight="1" x14ac:dyDescent="0.2">
      <c r="A159" s="908"/>
      <c r="B159" s="908"/>
      <c r="C159" s="913"/>
      <c r="D159" s="894"/>
      <c r="E159" s="895"/>
      <c r="F159" s="895"/>
      <c r="G159" s="1013"/>
      <c r="H159" s="1014"/>
    </row>
    <row r="160" spans="1:8" ht="12.75" customHeight="1" x14ac:dyDescent="0.2">
      <c r="A160" s="908"/>
      <c r="B160" s="908"/>
      <c r="C160" s="913"/>
      <c r="D160" s="894"/>
      <c r="E160" s="895"/>
      <c r="F160" s="895"/>
      <c r="G160" s="1015"/>
      <c r="H160" s="1016"/>
    </row>
    <row r="161" spans="1:8" ht="12.75" customHeight="1" x14ac:dyDescent="0.2">
      <c r="A161" s="908"/>
      <c r="B161" s="908"/>
      <c r="C161" s="913"/>
      <c r="D161" s="894"/>
      <c r="E161" s="895" t="s">
        <v>464</v>
      </c>
      <c r="F161" s="895"/>
      <c r="G161" s="912" t="s">
        <v>279</v>
      </c>
      <c r="H161" s="912"/>
    </row>
    <row r="162" spans="1:8" ht="12.75" customHeight="1" x14ac:dyDescent="0.2">
      <c r="A162" s="908"/>
      <c r="B162" s="908"/>
      <c r="C162" s="913"/>
      <c r="D162" s="894"/>
      <c r="E162" s="895"/>
      <c r="F162" s="895"/>
      <c r="G162" s="912"/>
      <c r="H162" s="912"/>
    </row>
    <row r="163" spans="1:8" ht="12.75" customHeight="1" x14ac:dyDescent="0.2">
      <c r="A163" s="908"/>
      <c r="B163" s="908"/>
      <c r="C163" s="913"/>
      <c r="D163" s="894" t="s">
        <v>465</v>
      </c>
      <c r="E163" s="895" t="s">
        <v>466</v>
      </c>
      <c r="F163" s="895"/>
      <c r="G163" s="801" t="s">
        <v>708</v>
      </c>
      <c r="H163" s="801"/>
    </row>
    <row r="164" spans="1:8" ht="12.75" customHeight="1" x14ac:dyDescent="0.2">
      <c r="A164" s="908"/>
      <c r="B164" s="908"/>
      <c r="C164" s="913"/>
      <c r="D164" s="894"/>
      <c r="E164" s="895"/>
      <c r="F164" s="895"/>
      <c r="G164" s="801"/>
      <c r="H164" s="801"/>
    </row>
    <row r="165" spans="1:8" ht="12.75" customHeight="1" x14ac:dyDescent="0.2">
      <c r="A165" s="908"/>
      <c r="B165" s="908"/>
      <c r="C165" s="913"/>
      <c r="D165" s="894"/>
      <c r="E165" s="895"/>
      <c r="F165" s="895"/>
      <c r="G165" s="801"/>
      <c r="H165" s="801"/>
    </row>
    <row r="166" spans="1:8" ht="12.75" customHeight="1" x14ac:dyDescent="0.2">
      <c r="A166" s="908"/>
      <c r="B166" s="908"/>
      <c r="C166" s="913"/>
      <c r="D166" s="894"/>
      <c r="E166" s="895"/>
      <c r="F166" s="895"/>
      <c r="G166" s="801"/>
      <c r="H166" s="801"/>
    </row>
    <row r="167" spans="1:8" ht="12.75" customHeight="1" x14ac:dyDescent="0.2">
      <c r="A167" s="908"/>
      <c r="B167" s="908"/>
      <c r="C167" s="913"/>
      <c r="D167" s="894"/>
      <c r="E167" s="895"/>
      <c r="F167" s="895"/>
      <c r="G167" s="801"/>
      <c r="H167" s="801"/>
    </row>
    <row r="168" spans="1:8" ht="12.75" customHeight="1" x14ac:dyDescent="0.2">
      <c r="A168" s="908"/>
      <c r="B168" s="908"/>
      <c r="C168" s="913"/>
      <c r="D168" s="894"/>
      <c r="E168" s="895" t="s">
        <v>467</v>
      </c>
      <c r="F168" s="895"/>
      <c r="G168" s="912"/>
      <c r="H168" s="912"/>
    </row>
    <row r="169" spans="1:8" ht="12.75" customHeight="1" x14ac:dyDescent="0.2">
      <c r="A169" s="908"/>
      <c r="B169" s="908"/>
      <c r="C169" s="913"/>
      <c r="D169" s="894"/>
      <c r="E169" s="895"/>
      <c r="F169" s="895"/>
      <c r="G169" s="912"/>
      <c r="H169" s="912"/>
    </row>
    <row r="170" spans="1:8" ht="12.75" customHeight="1" x14ac:dyDescent="0.2">
      <c r="A170" s="909" t="s">
        <v>717</v>
      </c>
      <c r="B170" s="909" t="s">
        <v>468</v>
      </c>
      <c r="C170" s="909" t="s">
        <v>206</v>
      </c>
      <c r="D170" s="896" t="s">
        <v>456</v>
      </c>
      <c r="E170" s="897" t="s">
        <v>469</v>
      </c>
      <c r="F170" s="897"/>
      <c r="G170" s="845"/>
      <c r="H170" s="845"/>
    </row>
    <row r="171" spans="1:8" ht="12.75" customHeight="1" x14ac:dyDescent="0.2">
      <c r="A171" s="909"/>
      <c r="B171" s="909"/>
      <c r="C171" s="909"/>
      <c r="D171" s="896"/>
      <c r="E171" s="897"/>
      <c r="F171" s="897"/>
      <c r="G171" s="845"/>
      <c r="H171" s="845"/>
    </row>
    <row r="172" spans="1:8" ht="12.75" customHeight="1" x14ac:dyDescent="0.2">
      <c r="A172" s="909"/>
      <c r="B172" s="909"/>
      <c r="C172" s="909"/>
      <c r="D172" s="896"/>
      <c r="E172" s="897"/>
      <c r="F172" s="897"/>
      <c r="G172" s="845"/>
      <c r="H172" s="845"/>
    </row>
    <row r="173" spans="1:8" ht="12.75" customHeight="1" x14ac:dyDescent="0.2">
      <c r="A173" s="909"/>
      <c r="B173" s="909"/>
      <c r="C173" s="909"/>
      <c r="D173" s="896"/>
      <c r="E173" s="897"/>
      <c r="F173" s="897"/>
      <c r="G173" s="845"/>
      <c r="H173" s="845"/>
    </row>
    <row r="174" spans="1:8" ht="12.75" customHeight="1" x14ac:dyDescent="0.2">
      <c r="A174" s="909"/>
      <c r="B174" s="909"/>
      <c r="C174" s="909"/>
      <c r="D174" s="896"/>
      <c r="E174" s="897"/>
      <c r="F174" s="897"/>
      <c r="G174" s="845"/>
      <c r="H174" s="845"/>
    </row>
    <row r="175" spans="1:8" ht="12.75" customHeight="1" x14ac:dyDescent="0.2">
      <c r="A175" s="909" t="s">
        <v>718</v>
      </c>
      <c r="B175" s="909" t="s">
        <v>468</v>
      </c>
      <c r="C175" s="845"/>
      <c r="D175" s="896" t="s">
        <v>456</v>
      </c>
      <c r="E175" s="897" t="s">
        <v>469</v>
      </c>
      <c r="F175" s="897"/>
      <c r="G175" s="845"/>
      <c r="H175" s="845"/>
    </row>
    <row r="176" spans="1:8" ht="12.75" customHeight="1" x14ac:dyDescent="0.2">
      <c r="A176" s="909"/>
      <c r="B176" s="909"/>
      <c r="C176" s="845"/>
      <c r="D176" s="896"/>
      <c r="E176" s="897"/>
      <c r="F176" s="897"/>
      <c r="G176" s="845"/>
      <c r="H176" s="845"/>
    </row>
    <row r="177" spans="1:8" ht="12.75" customHeight="1" x14ac:dyDescent="0.2">
      <c r="A177" s="909"/>
      <c r="B177" s="909"/>
      <c r="C177" s="845"/>
      <c r="D177" s="896"/>
      <c r="E177" s="897"/>
      <c r="F177" s="897"/>
      <c r="G177" s="845"/>
      <c r="H177" s="845"/>
    </row>
    <row r="178" spans="1:8" ht="12.75" customHeight="1" x14ac:dyDescent="0.2">
      <c r="A178" s="909"/>
      <c r="B178" s="909"/>
      <c r="C178" s="845"/>
      <c r="D178" s="896"/>
      <c r="E178" s="897"/>
      <c r="F178" s="897"/>
      <c r="G178" s="845"/>
      <c r="H178" s="845"/>
    </row>
    <row r="179" spans="1:8" ht="12.75" customHeight="1" x14ac:dyDescent="0.2">
      <c r="A179" s="909"/>
      <c r="B179" s="909"/>
      <c r="C179" s="845"/>
      <c r="D179" s="896"/>
      <c r="E179" s="897"/>
      <c r="F179" s="897"/>
      <c r="G179" s="845"/>
      <c r="H179" s="845"/>
    </row>
    <row r="180" spans="1:8" ht="12.75" customHeight="1" x14ac:dyDescent="0.2">
      <c r="A180" s="909" t="s">
        <v>719</v>
      </c>
      <c r="B180" s="909" t="s">
        <v>468</v>
      </c>
      <c r="C180" s="1020" t="s">
        <v>737</v>
      </c>
      <c r="D180" s="896" t="s">
        <v>456</v>
      </c>
      <c r="E180" s="897" t="s">
        <v>469</v>
      </c>
      <c r="F180" s="897"/>
      <c r="G180" s="845"/>
      <c r="H180" s="845"/>
    </row>
    <row r="181" spans="1:8" ht="12.75" customHeight="1" x14ac:dyDescent="0.2">
      <c r="A181" s="909"/>
      <c r="B181" s="909"/>
      <c r="C181" s="1020"/>
      <c r="D181" s="896"/>
      <c r="E181" s="897"/>
      <c r="F181" s="897"/>
      <c r="G181" s="845"/>
      <c r="H181" s="845"/>
    </row>
    <row r="182" spans="1:8" ht="12.75" customHeight="1" x14ac:dyDescent="0.2">
      <c r="A182" s="909"/>
      <c r="B182" s="909"/>
      <c r="C182" s="1020"/>
      <c r="D182" s="896"/>
      <c r="E182" s="897"/>
      <c r="F182" s="897"/>
      <c r="G182" s="845"/>
      <c r="H182" s="845"/>
    </row>
    <row r="183" spans="1:8" ht="12.75" customHeight="1" x14ac:dyDescent="0.2">
      <c r="A183" s="909"/>
      <c r="B183" s="909"/>
      <c r="C183" s="1020"/>
      <c r="D183" s="896"/>
      <c r="E183" s="897"/>
      <c r="F183" s="897"/>
      <c r="G183" s="845"/>
      <c r="H183" s="845"/>
    </row>
    <row r="184" spans="1:8" ht="12.75" customHeight="1" x14ac:dyDescent="0.2">
      <c r="A184" s="909"/>
      <c r="B184" s="909"/>
      <c r="C184" s="1020"/>
      <c r="D184" s="896"/>
      <c r="E184" s="897"/>
      <c r="F184" s="897"/>
      <c r="G184" s="845"/>
      <c r="H184" s="845"/>
    </row>
    <row r="185" spans="1:8" ht="12.75" customHeight="1" x14ac:dyDescent="0.2">
      <c r="A185" s="909" t="s">
        <v>739</v>
      </c>
      <c r="B185" s="909" t="s">
        <v>468</v>
      </c>
      <c r="C185" s="1020" t="s">
        <v>738</v>
      </c>
      <c r="D185" s="896" t="s">
        <v>456</v>
      </c>
      <c r="E185" s="897" t="s">
        <v>469</v>
      </c>
      <c r="F185" s="897"/>
      <c r="G185" s="845"/>
      <c r="H185" s="845"/>
    </row>
    <row r="186" spans="1:8" ht="12.75" customHeight="1" x14ac:dyDescent="0.2">
      <c r="A186" s="909"/>
      <c r="B186" s="909"/>
      <c r="C186" s="1020"/>
      <c r="D186" s="896"/>
      <c r="E186" s="897"/>
      <c r="F186" s="897"/>
      <c r="G186" s="845"/>
      <c r="H186" s="845"/>
    </row>
    <row r="187" spans="1:8" ht="12.75" customHeight="1" x14ac:dyDescent="0.2">
      <c r="A187" s="909"/>
      <c r="B187" s="909"/>
      <c r="C187" s="1020"/>
      <c r="D187" s="896"/>
      <c r="E187" s="897"/>
      <c r="F187" s="897"/>
      <c r="G187" s="845"/>
      <c r="H187" s="845"/>
    </row>
    <row r="188" spans="1:8" ht="12.75" customHeight="1" x14ac:dyDescent="0.2">
      <c r="A188" s="909"/>
      <c r="B188" s="909"/>
      <c r="C188" s="1020"/>
      <c r="D188" s="896"/>
      <c r="E188" s="897"/>
      <c r="F188" s="897"/>
      <c r="G188" s="845"/>
      <c r="H188" s="845"/>
    </row>
    <row r="189" spans="1:8" ht="12.75" customHeight="1" x14ac:dyDescent="0.2">
      <c r="A189" s="909"/>
      <c r="B189" s="909"/>
      <c r="C189" s="1020"/>
      <c r="D189" s="896"/>
      <c r="E189" s="897"/>
      <c r="F189" s="897"/>
      <c r="G189" s="845"/>
      <c r="H189" s="845"/>
    </row>
    <row r="190" spans="1:8" s="323" customFormat="1" ht="12.75" customHeight="1" x14ac:dyDescent="0.2">
      <c r="A190" s="1017" t="s">
        <v>720</v>
      </c>
      <c r="B190" s="1017" t="s">
        <v>468</v>
      </c>
      <c r="C190" s="1017" t="s">
        <v>721</v>
      </c>
      <c r="D190" s="783" t="s">
        <v>456</v>
      </c>
      <c r="E190" s="623" t="s">
        <v>469</v>
      </c>
      <c r="F190" s="624"/>
      <c r="G190" s="1011" t="s">
        <v>712</v>
      </c>
      <c r="H190" s="1012"/>
    </row>
    <row r="191" spans="1:8" s="323" customFormat="1" ht="12.75" customHeight="1" x14ac:dyDescent="0.2">
      <c r="A191" s="1018"/>
      <c r="B191" s="1018"/>
      <c r="C191" s="1018"/>
      <c r="D191" s="784"/>
      <c r="E191" s="625"/>
      <c r="F191" s="626"/>
      <c r="G191" s="1013"/>
      <c r="H191" s="1014"/>
    </row>
    <row r="192" spans="1:8" s="323" customFormat="1" ht="12.75" customHeight="1" x14ac:dyDescent="0.2">
      <c r="A192" s="1018"/>
      <c r="B192" s="1018"/>
      <c r="C192" s="1018"/>
      <c r="D192" s="784"/>
      <c r="E192" s="625"/>
      <c r="F192" s="626"/>
      <c r="G192" s="1013"/>
      <c r="H192" s="1014"/>
    </row>
    <row r="193" spans="1:8" s="323" customFormat="1" ht="12.75" customHeight="1" x14ac:dyDescent="0.2">
      <c r="A193" s="1018"/>
      <c r="B193" s="1018"/>
      <c r="C193" s="1018"/>
      <c r="D193" s="784"/>
      <c r="E193" s="625"/>
      <c r="F193" s="626"/>
      <c r="G193" s="1013"/>
      <c r="H193" s="1014"/>
    </row>
    <row r="194" spans="1:8" s="323" customFormat="1" ht="12.75" customHeight="1" x14ac:dyDescent="0.2">
      <c r="A194" s="1019"/>
      <c r="B194" s="1019"/>
      <c r="C194" s="1019"/>
      <c r="D194" s="785"/>
      <c r="E194" s="627"/>
      <c r="F194" s="628"/>
      <c r="G194" s="1015"/>
      <c r="H194" s="1016"/>
    </row>
    <row r="195" spans="1:8" s="323" customFormat="1" ht="12.75" customHeight="1" x14ac:dyDescent="0.2">
      <c r="A195" s="1017" t="s">
        <v>722</v>
      </c>
      <c r="B195" s="1017" t="s">
        <v>468</v>
      </c>
      <c r="C195" s="1017" t="s">
        <v>216</v>
      </c>
      <c r="D195" s="783" t="s">
        <v>456</v>
      </c>
      <c r="E195" s="623" t="s">
        <v>469</v>
      </c>
      <c r="F195" s="624"/>
      <c r="G195" s="1011" t="s">
        <v>712</v>
      </c>
      <c r="H195" s="1012"/>
    </row>
    <row r="196" spans="1:8" s="323" customFormat="1" ht="12.75" customHeight="1" x14ac:dyDescent="0.2">
      <c r="A196" s="1018"/>
      <c r="B196" s="1018"/>
      <c r="C196" s="1018"/>
      <c r="D196" s="784"/>
      <c r="E196" s="625"/>
      <c r="F196" s="626"/>
      <c r="G196" s="1013"/>
      <c r="H196" s="1014"/>
    </row>
    <row r="197" spans="1:8" s="323" customFormat="1" ht="12.75" customHeight="1" x14ac:dyDescent="0.2">
      <c r="A197" s="1018"/>
      <c r="B197" s="1018"/>
      <c r="C197" s="1018"/>
      <c r="D197" s="784"/>
      <c r="E197" s="625"/>
      <c r="F197" s="626"/>
      <c r="G197" s="1013"/>
      <c r="H197" s="1014"/>
    </row>
    <row r="198" spans="1:8" s="323" customFormat="1" ht="12.75" customHeight="1" x14ac:dyDescent="0.2">
      <c r="A198" s="1018"/>
      <c r="B198" s="1018"/>
      <c r="C198" s="1018"/>
      <c r="D198" s="784"/>
      <c r="E198" s="625"/>
      <c r="F198" s="626"/>
      <c r="G198" s="1013"/>
      <c r="H198" s="1014"/>
    </row>
    <row r="199" spans="1:8" s="323" customFormat="1" ht="12.75" customHeight="1" x14ac:dyDescent="0.2">
      <c r="A199" s="1019"/>
      <c r="B199" s="1019"/>
      <c r="C199" s="1019"/>
      <c r="D199" s="785"/>
      <c r="E199" s="627"/>
      <c r="F199" s="628"/>
      <c r="G199" s="1015"/>
      <c r="H199" s="1016"/>
    </row>
    <row r="200" spans="1:8" ht="12.75" customHeight="1" x14ac:dyDescent="0.2">
      <c r="A200" s="1017" t="s">
        <v>740</v>
      </c>
      <c r="B200" s="1017" t="s">
        <v>468</v>
      </c>
      <c r="C200" s="1017" t="s">
        <v>741</v>
      </c>
      <c r="D200" s="783" t="s">
        <v>456</v>
      </c>
      <c r="E200" s="623" t="s">
        <v>469</v>
      </c>
      <c r="F200" s="624"/>
      <c r="G200" s="1011" t="s">
        <v>712</v>
      </c>
      <c r="H200" s="1012"/>
    </row>
    <row r="201" spans="1:8" ht="12.75" customHeight="1" x14ac:dyDescent="0.2">
      <c r="A201" s="1018"/>
      <c r="B201" s="1018"/>
      <c r="C201" s="1018"/>
      <c r="D201" s="784"/>
      <c r="E201" s="625"/>
      <c r="F201" s="626"/>
      <c r="G201" s="1013"/>
      <c r="H201" s="1014"/>
    </row>
    <row r="202" spans="1:8" ht="12.75" customHeight="1" x14ac:dyDescent="0.2">
      <c r="A202" s="1018"/>
      <c r="B202" s="1018"/>
      <c r="C202" s="1018"/>
      <c r="D202" s="784"/>
      <c r="E202" s="625"/>
      <c r="F202" s="626"/>
      <c r="G202" s="1013"/>
      <c r="H202" s="1014"/>
    </row>
    <row r="203" spans="1:8" ht="12.75" customHeight="1" x14ac:dyDescent="0.2">
      <c r="A203" s="1018"/>
      <c r="B203" s="1018"/>
      <c r="C203" s="1018"/>
      <c r="D203" s="784"/>
      <c r="E203" s="625"/>
      <c r="F203" s="626"/>
      <c r="G203" s="1013"/>
      <c r="H203" s="1014"/>
    </row>
    <row r="204" spans="1:8" ht="12.75" customHeight="1" x14ac:dyDescent="0.2">
      <c r="A204" s="1019"/>
      <c r="B204" s="1019"/>
      <c r="C204" s="1019"/>
      <c r="D204" s="785"/>
      <c r="E204" s="627"/>
      <c r="F204" s="628"/>
      <c r="G204" s="1015"/>
      <c r="H204" s="1016"/>
    </row>
  </sheetData>
  <sheetProtection algorithmName="SHA-512" hashValue="nply6vSB2qrKVFBdpMIrHTrurbyyT3yYyMkJ89FvDEy02wF1SnBW2DusTaeuDcuLc2tn9JY3V4Z+yVku8on1lQ==" saltValue="+Ta4C1pRVard+XKVWr6WzA==" spinCount="100000" sheet="1" objects="1" scenarios="1"/>
  <mergeCells count="222">
    <mergeCell ref="A200:A204"/>
    <mergeCell ref="B200:B204"/>
    <mergeCell ref="C200:C204"/>
    <mergeCell ref="D200:D204"/>
    <mergeCell ref="E200:F204"/>
    <mergeCell ref="G200:H204"/>
    <mergeCell ref="A195:A199"/>
    <mergeCell ref="B195:B199"/>
    <mergeCell ref="C195:C199"/>
    <mergeCell ref="D195:D199"/>
    <mergeCell ref="E195:F199"/>
    <mergeCell ref="G195:H199"/>
    <mergeCell ref="A170:A174"/>
    <mergeCell ref="B170:B174"/>
    <mergeCell ref="C170:C174"/>
    <mergeCell ref="D170:D174"/>
    <mergeCell ref="E170:F174"/>
    <mergeCell ref="G170:H174"/>
    <mergeCell ref="A190:A194"/>
    <mergeCell ref="B190:B194"/>
    <mergeCell ref="C190:C194"/>
    <mergeCell ref="D190:D194"/>
    <mergeCell ref="E190:F194"/>
    <mergeCell ref="G190:H194"/>
    <mergeCell ref="A185:A189"/>
    <mergeCell ref="B185:B189"/>
    <mergeCell ref="C185:C189"/>
    <mergeCell ref="D185:D189"/>
    <mergeCell ref="E185:F189"/>
    <mergeCell ref="G185:H189"/>
    <mergeCell ref="A180:A184"/>
    <mergeCell ref="B180:B184"/>
    <mergeCell ref="C180:C184"/>
    <mergeCell ref="D180:D184"/>
    <mergeCell ref="E180:F184"/>
    <mergeCell ref="G180:H184"/>
    <mergeCell ref="A175:A179"/>
    <mergeCell ref="B175:B179"/>
    <mergeCell ref="C175:C179"/>
    <mergeCell ref="D175:D179"/>
    <mergeCell ref="E175:F179"/>
    <mergeCell ref="G175:H179"/>
    <mergeCell ref="A139:A169"/>
    <mergeCell ref="B139:B169"/>
    <mergeCell ref="C139:C169"/>
    <mergeCell ref="D139:D143"/>
    <mergeCell ref="E139:F143"/>
    <mergeCell ref="G156:H160"/>
    <mergeCell ref="E161:F162"/>
    <mergeCell ref="G161:H162"/>
    <mergeCell ref="D163:D169"/>
    <mergeCell ref="E163:F167"/>
    <mergeCell ref="G163:H167"/>
    <mergeCell ref="E168:F169"/>
    <mergeCell ref="G168:H169"/>
    <mergeCell ref="G139:H143"/>
    <mergeCell ref="D144:D148"/>
    <mergeCell ref="E144:F148"/>
    <mergeCell ref="G144:H148"/>
    <mergeCell ref="D149:D162"/>
    <mergeCell ref="E149:F153"/>
    <mergeCell ref="G149:H153"/>
    <mergeCell ref="E154:F155"/>
    <mergeCell ref="G154:H155"/>
    <mergeCell ref="E156:F160"/>
    <mergeCell ref="A108:A138"/>
    <mergeCell ref="B108:B138"/>
    <mergeCell ref="C108:C138"/>
    <mergeCell ref="D108:D112"/>
    <mergeCell ref="E108:F112"/>
    <mergeCell ref="G108:H112"/>
    <mergeCell ref="D113:D117"/>
    <mergeCell ref="E113:F117"/>
    <mergeCell ref="G113:H117"/>
    <mergeCell ref="D118:D131"/>
    <mergeCell ref="E118:F122"/>
    <mergeCell ref="G118:H122"/>
    <mergeCell ref="E123:F124"/>
    <mergeCell ref="G123:H124"/>
    <mergeCell ref="E125:F129"/>
    <mergeCell ref="G125:H129"/>
    <mergeCell ref="E130:F131"/>
    <mergeCell ref="G130:H131"/>
    <mergeCell ref="D132:D138"/>
    <mergeCell ref="E132:F136"/>
    <mergeCell ref="G132:H136"/>
    <mergeCell ref="E137:F138"/>
    <mergeCell ref="G137:H138"/>
    <mergeCell ref="D76:H76"/>
    <mergeCell ref="A77:A107"/>
    <mergeCell ref="B77:B107"/>
    <mergeCell ref="C77:C107"/>
    <mergeCell ref="D77:D81"/>
    <mergeCell ref="E77:F81"/>
    <mergeCell ref="G77:H81"/>
    <mergeCell ref="D82:D86"/>
    <mergeCell ref="E82:F86"/>
    <mergeCell ref="G82:H86"/>
    <mergeCell ref="D87:D100"/>
    <mergeCell ref="E87:F91"/>
    <mergeCell ref="G87:H91"/>
    <mergeCell ref="E92:F93"/>
    <mergeCell ref="G92:H93"/>
    <mergeCell ref="E94:F98"/>
    <mergeCell ref="G94:H98"/>
    <mergeCell ref="E99:F100"/>
    <mergeCell ref="G99:H100"/>
    <mergeCell ref="D101:D107"/>
    <mergeCell ref="E101:F105"/>
    <mergeCell ref="G101:H105"/>
    <mergeCell ref="E106:F107"/>
    <mergeCell ref="G106:H107"/>
    <mergeCell ref="A69:B69"/>
    <mergeCell ref="A70:B71"/>
    <mergeCell ref="C70:H71"/>
    <mergeCell ref="A72:B73"/>
    <mergeCell ref="C72:H73"/>
    <mergeCell ref="A75:H75"/>
    <mergeCell ref="A66:B66"/>
    <mergeCell ref="C66:D66"/>
    <mergeCell ref="E66:F66"/>
    <mergeCell ref="G66:H66"/>
    <mergeCell ref="A67:B67"/>
    <mergeCell ref="C67:D67"/>
    <mergeCell ref="E67:F67"/>
    <mergeCell ref="G67:H67"/>
    <mergeCell ref="C63:D63"/>
    <mergeCell ref="C64:D64"/>
    <mergeCell ref="E64:F64"/>
    <mergeCell ref="G64:H64"/>
    <mergeCell ref="A65:B65"/>
    <mergeCell ref="C65:D65"/>
    <mergeCell ref="E65:F65"/>
    <mergeCell ref="G65:H65"/>
    <mergeCell ref="A59:H59"/>
    <mergeCell ref="A60:A62"/>
    <mergeCell ref="B60:B62"/>
    <mergeCell ref="C60:C62"/>
    <mergeCell ref="D60:D62"/>
    <mergeCell ref="E60:E62"/>
    <mergeCell ref="F60:F62"/>
    <mergeCell ref="G60:G62"/>
    <mergeCell ref="H60:H62"/>
    <mergeCell ref="A55:H55"/>
    <mergeCell ref="A56:A58"/>
    <mergeCell ref="B56:B58"/>
    <mergeCell ref="C56:C58"/>
    <mergeCell ref="D56:D58"/>
    <mergeCell ref="E56:E58"/>
    <mergeCell ref="F56:F58"/>
    <mergeCell ref="G56:G58"/>
    <mergeCell ref="H56:H58"/>
    <mergeCell ref="A51:H51"/>
    <mergeCell ref="A52:A54"/>
    <mergeCell ref="B52:B54"/>
    <mergeCell ref="C52:C54"/>
    <mergeCell ref="D52:D54"/>
    <mergeCell ref="E52:E54"/>
    <mergeCell ref="F52:F54"/>
    <mergeCell ref="G52:G54"/>
    <mergeCell ref="H52:H54"/>
    <mergeCell ref="A44:B46"/>
    <mergeCell ref="C44:D46"/>
    <mergeCell ref="E44:F46"/>
    <mergeCell ref="G44:H46"/>
    <mergeCell ref="A48:A50"/>
    <mergeCell ref="B48:B50"/>
    <mergeCell ref="C48:C50"/>
    <mergeCell ref="D48:D50"/>
    <mergeCell ref="E48:E50"/>
    <mergeCell ref="F48:F50"/>
    <mergeCell ref="G48:G50"/>
    <mergeCell ref="H48:H50"/>
    <mergeCell ref="A41:B41"/>
    <mergeCell ref="C41:D41"/>
    <mergeCell ref="E41:F41"/>
    <mergeCell ref="G41:H41"/>
    <mergeCell ref="A42:B43"/>
    <mergeCell ref="C42:D43"/>
    <mergeCell ref="E42:F43"/>
    <mergeCell ref="G42:H43"/>
    <mergeCell ref="A31:B39"/>
    <mergeCell ref="C31:D39"/>
    <mergeCell ref="E31:F39"/>
    <mergeCell ref="G31:H39"/>
    <mergeCell ref="A40:B40"/>
    <mergeCell ref="C40:D40"/>
    <mergeCell ref="E40:F40"/>
    <mergeCell ref="G40:H40"/>
    <mergeCell ref="A26:B27"/>
    <mergeCell ref="C26:H27"/>
    <mergeCell ref="C29:D29"/>
    <mergeCell ref="E29:F29"/>
    <mergeCell ref="G29:H29"/>
    <mergeCell ref="A30:B30"/>
    <mergeCell ref="C30:D30"/>
    <mergeCell ref="E30:F30"/>
    <mergeCell ref="G30:H30"/>
    <mergeCell ref="A23:B23"/>
    <mergeCell ref="C23:H23"/>
    <mergeCell ref="A24:B24"/>
    <mergeCell ref="C24:H24"/>
    <mergeCell ref="A25:B25"/>
    <mergeCell ref="C25:H25"/>
    <mergeCell ref="A20:B20"/>
    <mergeCell ref="C20:H20"/>
    <mergeCell ref="A21:B21"/>
    <mergeCell ref="C21:H21"/>
    <mergeCell ref="A22:B22"/>
    <mergeCell ref="C22:H22"/>
    <mergeCell ref="A11:B12"/>
    <mergeCell ref="C11:H12"/>
    <mergeCell ref="A14:B18"/>
    <mergeCell ref="C14:H18"/>
    <mergeCell ref="A19:B19"/>
    <mergeCell ref="C19:H19"/>
    <mergeCell ref="A8:B8"/>
    <mergeCell ref="C8:H8"/>
    <mergeCell ref="A9:B9"/>
    <mergeCell ref="C9:H9"/>
    <mergeCell ref="A10:B10"/>
    <mergeCell ref="C10:H10"/>
  </mergeCells>
  <conditionalFormatting sqref="G92">
    <cfRule type="containsText" dxfId="110" priority="43" operator="containsText" text="Yes">
      <formula>NOT(ISERROR(SEARCH("Yes",G92)))</formula>
    </cfRule>
    <cfRule type="containsText" dxfId="109" priority="44" operator="containsText" text="No">
      <formula>NOT(ISERROR(SEARCH("No",G92)))</formula>
    </cfRule>
    <cfRule type="containsText" dxfId="108" priority="45" operator="containsText" text="N/A">
      <formula>NOT(ISERROR(SEARCH("N/A",G92)))</formula>
    </cfRule>
  </conditionalFormatting>
  <conditionalFormatting sqref="G99">
    <cfRule type="containsText" dxfId="107" priority="22" operator="containsText" text="Yes">
      <formula>NOT(ISERROR(SEARCH("Yes",G99)))</formula>
    </cfRule>
    <cfRule type="containsText" dxfId="106" priority="23" operator="containsText" text="No">
      <formula>NOT(ISERROR(SEARCH("No",G99)))</formula>
    </cfRule>
    <cfRule type="containsText" dxfId="105" priority="24" operator="containsText" text="N/A">
      <formula>NOT(ISERROR(SEARCH("N/A",G99)))</formula>
    </cfRule>
  </conditionalFormatting>
  <conditionalFormatting sqref="G123">
    <cfRule type="containsText" dxfId="104" priority="13" operator="containsText" text="Yes">
      <formula>NOT(ISERROR(SEARCH("Yes",G123)))</formula>
    </cfRule>
    <cfRule type="containsText" dxfId="103" priority="14" operator="containsText" text="No">
      <formula>NOT(ISERROR(SEARCH("No",G123)))</formula>
    </cfRule>
    <cfRule type="containsText" dxfId="102" priority="15" operator="containsText" text="N/A">
      <formula>NOT(ISERROR(SEARCH("N/A",G123)))</formula>
    </cfRule>
  </conditionalFormatting>
  <conditionalFormatting sqref="G137">
    <cfRule type="containsText" dxfId="101" priority="16" operator="containsText" text="Yes">
      <formula>NOT(ISERROR(SEARCH("Yes",G137)))</formula>
    </cfRule>
    <cfRule type="containsText" dxfId="100" priority="17" operator="containsText" text="No">
      <formula>NOT(ISERROR(SEARCH("No",G137)))</formula>
    </cfRule>
    <cfRule type="containsText" dxfId="99" priority="18" operator="containsText" text="N/A">
      <formula>NOT(ISERROR(SEARCH("N/A",G137)))</formula>
    </cfRule>
  </conditionalFormatting>
  <conditionalFormatting sqref="G106">
    <cfRule type="containsText" dxfId="98" priority="19" operator="containsText" text="Yes">
      <formula>NOT(ISERROR(SEARCH("Yes",G106)))</formula>
    </cfRule>
    <cfRule type="containsText" dxfId="97" priority="20" operator="containsText" text="No">
      <formula>NOT(ISERROR(SEARCH("No",G106)))</formula>
    </cfRule>
    <cfRule type="containsText" dxfId="96" priority="21" operator="containsText" text="N/A">
      <formula>NOT(ISERROR(SEARCH("N/A",G106)))</formula>
    </cfRule>
  </conditionalFormatting>
  <conditionalFormatting sqref="G168">
    <cfRule type="containsText" dxfId="95" priority="7" operator="containsText" text="Yes">
      <formula>NOT(ISERROR(SEARCH("Yes",G168)))</formula>
    </cfRule>
    <cfRule type="containsText" dxfId="94" priority="8" operator="containsText" text="No">
      <formula>NOT(ISERROR(SEARCH("No",G168)))</formula>
    </cfRule>
    <cfRule type="containsText" dxfId="93" priority="9" operator="containsText" text="N/A">
      <formula>NOT(ISERROR(SEARCH("N/A",G168)))</formula>
    </cfRule>
  </conditionalFormatting>
  <conditionalFormatting sqref="G130">
    <cfRule type="containsText" dxfId="92" priority="10" operator="containsText" text="Yes">
      <formula>NOT(ISERROR(SEARCH("Yes",G130)))</formula>
    </cfRule>
    <cfRule type="containsText" dxfId="91" priority="11" operator="containsText" text="No">
      <formula>NOT(ISERROR(SEARCH("No",G130)))</formula>
    </cfRule>
    <cfRule type="containsText" dxfId="90" priority="12" operator="containsText" text="N/A">
      <formula>NOT(ISERROR(SEARCH("N/A",G130)))</formula>
    </cfRule>
  </conditionalFormatting>
  <conditionalFormatting sqref="G154">
    <cfRule type="containsText" dxfId="89" priority="4" operator="containsText" text="Yes">
      <formula>NOT(ISERROR(SEARCH("Yes",G154)))</formula>
    </cfRule>
    <cfRule type="containsText" dxfId="88" priority="5" operator="containsText" text="No">
      <formula>NOT(ISERROR(SEARCH("No",G154)))</formula>
    </cfRule>
    <cfRule type="containsText" dxfId="87" priority="6" operator="containsText" text="N/A">
      <formula>NOT(ISERROR(SEARCH("N/A",G154)))</formula>
    </cfRule>
  </conditionalFormatting>
  <conditionalFormatting sqref="G161">
    <cfRule type="containsText" dxfId="86" priority="1" operator="containsText" text="Yes">
      <formula>NOT(ISERROR(SEARCH("Yes",G161)))</formula>
    </cfRule>
    <cfRule type="containsText" dxfId="85" priority="2" operator="containsText" text="No">
      <formula>NOT(ISERROR(SEARCH("No",G161)))</formula>
    </cfRule>
    <cfRule type="containsText" dxfId="84" priority="3" operator="containsText" text="N/A">
      <formula>NOT(ISERROR(SEARCH("N/A",G161)))</formula>
    </cfRule>
  </conditionalFormatting>
  <pageMargins left="0.7" right="0.7" top="0.75" bottom="0.75" header="0.3" footer="0.3"/>
  <pageSetup scale="58" fitToHeight="0" orientation="landscape" r:id="rId1"/>
  <drawing r:id="rId2"/>
  <legacyDrawing r:id="rId3"/>
  <controls>
    <mc:AlternateContent xmlns:mc="http://schemas.openxmlformats.org/markup-compatibility/2006">
      <mc:Choice Requires="x14">
        <control shapeId="20481"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20481" r:id="rId4" name="backMenuBtn"/>
      </mc:Fallback>
    </mc:AlternateContent>
    <mc:AlternateContent xmlns:mc="http://schemas.openxmlformats.org/markup-compatibility/2006">
      <mc:Choice Requires="x14">
        <control shapeId="20482" r:id="rId6" name="CommandButton1">
          <controlPr defaultSize="0" autoLine="0" r:id="rId7">
            <anchor moveWithCells="1">
              <from>
                <xdr:col>1</xdr:col>
                <xdr:colOff>638175</xdr:colOff>
                <xdr:row>0</xdr:row>
                <xdr:rowOff>0</xdr:rowOff>
              </from>
              <to>
                <xdr:col>1</xdr:col>
                <xdr:colOff>1838325</xdr:colOff>
                <xdr:row>1</xdr:row>
                <xdr:rowOff>114300</xdr:rowOff>
              </to>
            </anchor>
          </controlPr>
        </control>
      </mc:Choice>
      <mc:Fallback>
        <control shapeId="20482" r:id="rId6" name="CommandButton1"/>
      </mc:Fallback>
    </mc:AlternateContent>
    <mc:AlternateContent xmlns:mc="http://schemas.openxmlformats.org/markup-compatibility/2006">
      <mc:Choice Requires="x14">
        <control shapeId="20483" r:id="rId8" name="CommandButton2">
          <controlPr defaultSize="0" autoLine="0" r:id="rId9">
            <anchor moveWithCells="1">
              <from>
                <xdr:col>0</xdr:col>
                <xdr:colOff>1343025</xdr:colOff>
                <xdr:row>0</xdr:row>
                <xdr:rowOff>9525</xdr:rowOff>
              </from>
              <to>
                <xdr:col>1</xdr:col>
                <xdr:colOff>504825</xdr:colOff>
                <xdr:row>1</xdr:row>
                <xdr:rowOff>123825</xdr:rowOff>
              </to>
            </anchor>
          </controlPr>
        </control>
      </mc:Choice>
      <mc:Fallback>
        <control shapeId="20483"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Dropdown!$H$2:$H$13</xm:f>
          </x14:formula1>
          <xm:sqref>C44:H46 C67:H67</xm:sqref>
        </x14:dataValidation>
        <x14:dataValidation type="list" allowBlank="1" showInputMessage="1" showErrorMessage="1">
          <x14:formula1>
            <xm:f>Dropdown!$I$2:$I$5</xm:f>
          </x14:formula1>
          <xm:sqref>G92:H93 G106:H107 G99:H100 G130:H131 G123:H124 G137:H138 G161:H162 G154:H155 G168:H169</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50"/>
    <pageSetUpPr fitToPage="1"/>
  </sheetPr>
  <dimension ref="A1:H114"/>
  <sheetViews>
    <sheetView showGridLines="0" zoomScale="75" zoomScaleNormal="75" zoomScalePageLayoutView="60" workbookViewId="0">
      <pane xSplit="2" ySplit="14" topLeftCell="C15" activePane="bottomRight" state="frozen"/>
      <selection activeCell="C156" sqref="C156"/>
      <selection pane="topRight" activeCell="C156" sqref="C156"/>
      <selection pane="bottomLeft" activeCell="C156" sqref="C156"/>
      <selection pane="bottomRight" activeCell="C156" sqref="C156"/>
    </sheetView>
  </sheetViews>
  <sheetFormatPr defaultColWidth="9.140625" defaultRowHeight="12.75" customHeight="1" outlineLevelRow="1" x14ac:dyDescent="0.2"/>
  <cols>
    <col min="1" max="8" width="30.5703125" style="267" customWidth="1"/>
    <col min="9" max="9" width="1.5703125" style="267" customWidth="1"/>
    <col min="10" max="16384" width="9.140625" style="267"/>
  </cols>
  <sheetData>
    <row r="1" spans="1:8" ht="12.75" customHeight="1" x14ac:dyDescent="0.2">
      <c r="A1" s="267" t="s">
        <v>767</v>
      </c>
    </row>
    <row r="3" spans="1:8" ht="12.75" customHeight="1" outlineLevel="1" x14ac:dyDescent="0.2">
      <c r="A3" s="225" t="str">
        <f>Narrative!A3</f>
        <v>ViewRay</v>
      </c>
    </row>
    <row r="4" spans="1:8" ht="12.75" customHeight="1" outlineLevel="1" x14ac:dyDescent="0.2">
      <c r="A4" s="228" t="s">
        <v>394</v>
      </c>
    </row>
    <row r="5" spans="1:8" ht="12.75" customHeight="1" outlineLevel="1" x14ac:dyDescent="0.2">
      <c r="A5" s="225" t="str">
        <f>Narrative!A5</f>
        <v>Financial Close and Reporting (FCR)</v>
      </c>
    </row>
    <row r="6" spans="1:8" ht="12.75" customHeight="1" outlineLevel="1" x14ac:dyDescent="0.2">
      <c r="A6" s="225" t="str">
        <f>Narrative!A6</f>
        <v>FY 2019</v>
      </c>
    </row>
    <row r="7" spans="1:8" ht="12.75" customHeight="1" outlineLevel="1" x14ac:dyDescent="0.2">
      <c r="A7" s="311"/>
      <c r="B7" s="311"/>
      <c r="C7" s="312"/>
      <c r="D7" s="312"/>
      <c r="E7" s="312"/>
      <c r="F7" s="312"/>
      <c r="G7" s="312"/>
      <c r="H7" s="313"/>
    </row>
    <row r="8" spans="1:8" ht="12.75" customHeight="1" x14ac:dyDescent="0.2">
      <c r="A8" s="938" t="s">
        <v>395</v>
      </c>
      <c r="B8" s="939"/>
      <c r="C8" s="935" t="str">
        <f>RCM!A13</f>
        <v>FCR</v>
      </c>
      <c r="D8" s="936"/>
      <c r="E8" s="936"/>
      <c r="F8" s="936"/>
      <c r="G8" s="936"/>
      <c r="H8" s="937"/>
    </row>
    <row r="9" spans="1:8" ht="12.75" customHeight="1" x14ac:dyDescent="0.2">
      <c r="A9" s="931" t="s">
        <v>396</v>
      </c>
      <c r="B9" s="940"/>
      <c r="C9" s="935" t="str">
        <f>VLOOKUP($C$10,RCM!J:X,4,0)</f>
        <v>Senior Manager SEC &amp; SOX/ Corporate
Controller</v>
      </c>
      <c r="D9" s="936"/>
      <c r="E9" s="936"/>
      <c r="F9" s="936"/>
      <c r="G9" s="936"/>
      <c r="H9" s="937"/>
    </row>
    <row r="10" spans="1:8" ht="12.75" customHeight="1" x14ac:dyDescent="0.2">
      <c r="A10" s="921" t="s">
        <v>397</v>
      </c>
      <c r="B10" s="941"/>
      <c r="C10" s="935" t="str">
        <f>RCM!J28</f>
        <v>FCR 6.09</v>
      </c>
      <c r="D10" s="936"/>
      <c r="E10" s="936"/>
      <c r="F10" s="936"/>
      <c r="G10" s="936"/>
      <c r="H10" s="937"/>
    </row>
    <row r="11" spans="1:8" ht="12.75" customHeight="1" x14ac:dyDescent="0.2">
      <c r="A11" s="921" t="s">
        <v>398</v>
      </c>
      <c r="B11" s="921"/>
      <c r="C11" s="922" t="str">
        <f>VLOOKUP($C$10,RCM!J:X,2,0)</f>
        <v>Quarterly, the completed GAAP Disclosure Checklist is reviewed by Senior Manager SEC &amp; SOX and Corporate Controller to ensure the disclosures are complete.  The GAAP Disclosure Checklist is reviewed against the Draft Form 10Q/10K to verify the completeness of the disclosures.  The review also includes ensuring all new relevant accounting pronouncements have been incorporated and that all significant transactions have been properly disclosed.  Review and approval is evidenced by email.</v>
      </c>
      <c r="D11" s="923"/>
      <c r="E11" s="923"/>
      <c r="F11" s="923"/>
      <c r="G11" s="923"/>
      <c r="H11" s="924"/>
    </row>
    <row r="12" spans="1:8" ht="12.75" customHeight="1" x14ac:dyDescent="0.2">
      <c r="A12" s="921"/>
      <c r="B12" s="921"/>
      <c r="C12" s="925"/>
      <c r="D12" s="926"/>
      <c r="E12" s="926"/>
      <c r="F12" s="926"/>
      <c r="G12" s="926"/>
      <c r="H12" s="927"/>
    </row>
    <row r="13" spans="1:8" ht="12.75" customHeight="1" x14ac:dyDescent="0.2">
      <c r="A13" s="921"/>
      <c r="B13" s="921"/>
      <c r="C13" s="925"/>
      <c r="D13" s="926"/>
      <c r="E13" s="926"/>
      <c r="F13" s="926"/>
      <c r="G13" s="926"/>
      <c r="H13" s="927"/>
    </row>
    <row r="14" spans="1:8" ht="12.75" customHeight="1" x14ac:dyDescent="0.2">
      <c r="A14" s="921"/>
      <c r="B14" s="921"/>
      <c r="C14" s="928" t="e">
        <v>#N/A</v>
      </c>
      <c r="D14" s="929"/>
      <c r="E14" s="929"/>
      <c r="F14" s="929"/>
      <c r="G14" s="929"/>
      <c r="H14" s="930"/>
    </row>
    <row r="15" spans="1:8" ht="12.75" customHeight="1" x14ac:dyDescent="0.2">
      <c r="A15" s="314"/>
      <c r="B15" s="315"/>
      <c r="C15" s="316"/>
      <c r="D15" s="316"/>
      <c r="E15" s="316"/>
      <c r="F15" s="316"/>
      <c r="G15" s="316"/>
      <c r="H15" s="313"/>
    </row>
    <row r="16" spans="1:8" ht="12.75" customHeight="1" x14ac:dyDescent="0.2">
      <c r="A16" s="931" t="s">
        <v>399</v>
      </c>
      <c r="B16" s="931"/>
      <c r="C16" s="922" t="str">
        <f>VLOOKUP($C$10,RCM!J:X,12,0)</f>
        <v>1. Obtain the completed quarterly Disclosure Checklist.
2. Review the checklist to ensure completeness. 
3. Spot check some disclosures and verify that each ties back to the 10Q/10K.
4. Ensure the checklist is reviewed  by Senior Manager, SEC &amp; SOX and Controller</v>
      </c>
      <c r="D16" s="923"/>
      <c r="E16" s="923"/>
      <c r="F16" s="923"/>
      <c r="G16" s="923"/>
      <c r="H16" s="924"/>
    </row>
    <row r="17" spans="1:8" ht="12.75" customHeight="1" x14ac:dyDescent="0.2">
      <c r="A17" s="931"/>
      <c r="B17" s="931"/>
      <c r="C17" s="925"/>
      <c r="D17" s="926"/>
      <c r="E17" s="926"/>
      <c r="F17" s="926"/>
      <c r="G17" s="926"/>
      <c r="H17" s="927"/>
    </row>
    <row r="18" spans="1:8" ht="12.75" customHeight="1" x14ac:dyDescent="0.2">
      <c r="A18" s="931"/>
      <c r="B18" s="931"/>
      <c r="C18" s="925"/>
      <c r="D18" s="926"/>
      <c r="E18" s="926"/>
      <c r="F18" s="926"/>
      <c r="G18" s="926"/>
      <c r="H18" s="927"/>
    </row>
    <row r="19" spans="1:8" ht="12.75" customHeight="1" x14ac:dyDescent="0.2">
      <c r="A19" s="931"/>
      <c r="B19" s="931"/>
      <c r="C19" s="925"/>
      <c r="D19" s="926"/>
      <c r="E19" s="926"/>
      <c r="F19" s="926"/>
      <c r="G19" s="926"/>
      <c r="H19" s="927"/>
    </row>
    <row r="20" spans="1:8" ht="12.75" customHeight="1" x14ac:dyDescent="0.2">
      <c r="A20" s="931"/>
      <c r="B20" s="931"/>
      <c r="C20" s="928" t="e">
        <v>#N/A</v>
      </c>
      <c r="D20" s="929"/>
      <c r="E20" s="929"/>
      <c r="F20" s="929"/>
      <c r="G20" s="929"/>
      <c r="H20" s="930"/>
    </row>
    <row r="21" spans="1:8" ht="12.75" customHeight="1" x14ac:dyDescent="0.2">
      <c r="A21" s="931" t="s">
        <v>400</v>
      </c>
      <c r="B21" s="931"/>
      <c r="C21" s="935" t="str">
        <f>VLOOKUP($C$10,RCM!J:X,8,0)</f>
        <v>Inspection</v>
      </c>
      <c r="D21" s="936"/>
      <c r="E21" s="936"/>
      <c r="F21" s="936"/>
      <c r="G21" s="936"/>
      <c r="H21" s="937"/>
    </row>
    <row r="22" spans="1:8" ht="12.75" customHeight="1" x14ac:dyDescent="0.2">
      <c r="A22" s="931" t="s">
        <v>401</v>
      </c>
      <c r="B22" s="940"/>
      <c r="C22" s="935" t="str">
        <f>VLOOKUP($C$10,RCM!J:X,5,0)</f>
        <v>Quarterly</v>
      </c>
      <c r="D22" s="936"/>
      <c r="E22" s="936"/>
      <c r="F22" s="936"/>
      <c r="G22" s="936"/>
      <c r="H22" s="937"/>
    </row>
    <row r="23" spans="1:8" ht="12.75" customHeight="1" x14ac:dyDescent="0.2">
      <c r="A23" s="931" t="s">
        <v>402</v>
      </c>
      <c r="B23" s="940"/>
      <c r="C23" s="993">
        <f>VLOOKUP($C$10,RCM!J:X,3,0)</f>
        <v>42186</v>
      </c>
      <c r="D23" s="994"/>
      <c r="E23" s="994"/>
      <c r="F23" s="994"/>
      <c r="G23" s="994"/>
      <c r="H23" s="995"/>
    </row>
    <row r="24" spans="1:8" s="275" customFormat="1" ht="12.75" customHeight="1" x14ac:dyDescent="0.2">
      <c r="A24" s="931" t="s">
        <v>403</v>
      </c>
      <c r="B24" s="940"/>
      <c r="C24" s="935" t="str">
        <f>VLOOKUP($C$10,RCM!J:X,10,0)</f>
        <v xml:space="preserve">Medium </v>
      </c>
      <c r="D24" s="936"/>
      <c r="E24" s="936"/>
      <c r="F24" s="936"/>
      <c r="G24" s="936"/>
      <c r="H24" s="937"/>
    </row>
    <row r="25" spans="1:8" ht="12.75" customHeight="1" x14ac:dyDescent="0.2">
      <c r="A25" s="931" t="s">
        <v>404</v>
      </c>
      <c r="B25" s="940"/>
      <c r="C25" s="477" t="str">
        <f>RCM!$AB$3</f>
        <v>1/1/19 - 6/30/19</v>
      </c>
      <c r="D25" s="478"/>
      <c r="E25" s="478"/>
      <c r="F25" s="478"/>
      <c r="G25" s="478"/>
      <c r="H25" s="479"/>
    </row>
    <row r="26" spans="1:8" ht="12.75" customHeight="1" x14ac:dyDescent="0.2">
      <c r="A26" s="931" t="s">
        <v>405</v>
      </c>
      <c r="B26" s="940"/>
      <c r="C26" s="706">
        <f>VLOOKUP(C$10,RCM!$J$9:$AG$29,20,0)</f>
        <v>4</v>
      </c>
      <c r="D26" s="707"/>
      <c r="E26" s="707"/>
      <c r="F26" s="707"/>
      <c r="G26" s="707"/>
      <c r="H26" s="708"/>
    </row>
    <row r="27" spans="1:8" ht="12.75" customHeight="1" x14ac:dyDescent="0.2">
      <c r="A27" s="931" t="s">
        <v>406</v>
      </c>
      <c r="B27" s="940"/>
      <c r="C27" s="483" t="str">
        <f>RCM!$AB$5&amp;" "&amp;VLOOKUP(C$10,RCM!$J$9:$AG$29,21,0)&amp;" "&amp;RCM!$AB$6</f>
        <v>Annual sample size: 2 (See sample size derivation below)</v>
      </c>
      <c r="D27" s="484"/>
      <c r="E27" s="484"/>
      <c r="F27" s="484"/>
      <c r="G27" s="484"/>
      <c r="H27" s="485"/>
    </row>
    <row r="28" spans="1:8" ht="12.75" customHeight="1" x14ac:dyDescent="0.2">
      <c r="A28" s="942" t="s">
        <v>407</v>
      </c>
      <c r="B28" s="943"/>
      <c r="C28" s="460" t="s">
        <v>552</v>
      </c>
      <c r="D28" s="461"/>
      <c r="E28" s="461"/>
      <c r="F28" s="461"/>
      <c r="G28" s="461"/>
      <c r="H28" s="462"/>
    </row>
    <row r="29" spans="1:8" s="275" customFormat="1" ht="12.75" customHeight="1" x14ac:dyDescent="0.2">
      <c r="A29" s="944"/>
      <c r="B29" s="945"/>
      <c r="C29" s="463"/>
      <c r="D29" s="464"/>
      <c r="E29" s="464"/>
      <c r="F29" s="464"/>
      <c r="G29" s="464"/>
      <c r="H29" s="465"/>
    </row>
    <row r="30" spans="1:8" ht="12.75" customHeight="1" x14ac:dyDescent="0.2">
      <c r="A30" s="317"/>
      <c r="B30" s="317"/>
      <c r="C30" s="318"/>
      <c r="D30" s="318"/>
      <c r="E30" s="318"/>
      <c r="F30" s="318"/>
      <c r="G30" s="318"/>
      <c r="H30" s="318"/>
    </row>
    <row r="31" spans="1:8" ht="12.75" customHeight="1" x14ac:dyDescent="0.2">
      <c r="A31" s="279"/>
      <c r="B31" s="279"/>
      <c r="C31" s="504" t="s">
        <v>409</v>
      </c>
      <c r="D31" s="505"/>
      <c r="E31" s="506" t="s">
        <v>410</v>
      </c>
      <c r="F31" s="507"/>
      <c r="G31" s="506" t="s">
        <v>411</v>
      </c>
      <c r="H31" s="507"/>
    </row>
    <row r="32" spans="1:8" ht="12.75" customHeight="1" x14ac:dyDescent="0.2">
      <c r="A32" s="508" t="s">
        <v>412</v>
      </c>
      <c r="B32" s="509"/>
      <c r="C32" s="898">
        <f>VLOOKUP($C$10,RCM!$J$9:$AG$29,22,0)</f>
        <v>1</v>
      </c>
      <c r="D32" s="511"/>
      <c r="E32" s="899">
        <f>VLOOKUP($C$10,RCM!$J$9:$AG$29,23,0)</f>
        <v>0</v>
      </c>
      <c r="F32" s="899"/>
      <c r="G32" s="899">
        <f>VLOOKUP($C$10,RCM!$J$9:$AG$29,24,0)</f>
        <v>1</v>
      </c>
      <c r="H32" s="899"/>
    </row>
    <row r="33" spans="1:8" ht="12.75" customHeight="1" outlineLevel="1" x14ac:dyDescent="0.2">
      <c r="A33" s="523" t="s">
        <v>413</v>
      </c>
      <c r="B33" s="524"/>
      <c r="C33" s="1002" t="s">
        <v>689</v>
      </c>
      <c r="D33" s="1003"/>
      <c r="E33" s="1002"/>
      <c r="F33" s="1003"/>
      <c r="G33" s="1002"/>
      <c r="H33" s="1003"/>
    </row>
    <row r="34" spans="1:8" ht="12.75" customHeight="1" outlineLevel="1" x14ac:dyDescent="0.2">
      <c r="A34" s="525"/>
      <c r="B34" s="526"/>
      <c r="C34" s="1004"/>
      <c r="D34" s="1005"/>
      <c r="E34" s="1004"/>
      <c r="F34" s="1005"/>
      <c r="G34" s="1004"/>
      <c r="H34" s="1005"/>
    </row>
    <row r="35" spans="1:8" ht="12.75" customHeight="1" outlineLevel="1" x14ac:dyDescent="0.2">
      <c r="A35" s="525"/>
      <c r="B35" s="526"/>
      <c r="C35" s="1004"/>
      <c r="D35" s="1005"/>
      <c r="E35" s="1004"/>
      <c r="F35" s="1005"/>
      <c r="G35" s="1004"/>
      <c r="H35" s="1005"/>
    </row>
    <row r="36" spans="1:8" ht="12.75" customHeight="1" outlineLevel="1" x14ac:dyDescent="0.2">
      <c r="A36" s="525"/>
      <c r="B36" s="526"/>
      <c r="C36" s="1004"/>
      <c r="D36" s="1005"/>
      <c r="E36" s="1004"/>
      <c r="F36" s="1005"/>
      <c r="G36" s="1004"/>
      <c r="H36" s="1005"/>
    </row>
    <row r="37" spans="1:8" ht="12.75" customHeight="1" outlineLevel="1" x14ac:dyDescent="0.2">
      <c r="A37" s="525"/>
      <c r="B37" s="526"/>
      <c r="C37" s="1004"/>
      <c r="D37" s="1005"/>
      <c r="E37" s="1004"/>
      <c r="F37" s="1005"/>
      <c r="G37" s="1004"/>
      <c r="H37" s="1005"/>
    </row>
    <row r="38" spans="1:8" ht="12.75" customHeight="1" outlineLevel="1" x14ac:dyDescent="0.2">
      <c r="A38" s="525"/>
      <c r="B38" s="526"/>
      <c r="C38" s="1004"/>
      <c r="D38" s="1005"/>
      <c r="E38" s="1004"/>
      <c r="F38" s="1005"/>
      <c r="G38" s="1004"/>
      <c r="H38" s="1005"/>
    </row>
    <row r="39" spans="1:8" ht="12.75" customHeight="1" outlineLevel="1" x14ac:dyDescent="0.2">
      <c r="A39" s="525"/>
      <c r="B39" s="526"/>
      <c r="C39" s="1004"/>
      <c r="D39" s="1005"/>
      <c r="E39" s="1004"/>
      <c r="F39" s="1005"/>
      <c r="G39" s="1004"/>
      <c r="H39" s="1005"/>
    </row>
    <row r="40" spans="1:8" ht="12.75" customHeight="1" outlineLevel="1" x14ac:dyDescent="0.2">
      <c r="A40" s="525"/>
      <c r="B40" s="526"/>
      <c r="C40" s="1004"/>
      <c r="D40" s="1005"/>
      <c r="E40" s="1004"/>
      <c r="F40" s="1005"/>
      <c r="G40" s="1004"/>
      <c r="H40" s="1005"/>
    </row>
    <row r="41" spans="1:8" ht="12.75" customHeight="1" outlineLevel="1" x14ac:dyDescent="0.2">
      <c r="A41" s="527"/>
      <c r="B41" s="528"/>
      <c r="C41" s="1006"/>
      <c r="D41" s="1007"/>
      <c r="E41" s="1006"/>
      <c r="F41" s="1007"/>
      <c r="G41" s="1006"/>
      <c r="H41" s="1007"/>
    </row>
    <row r="42" spans="1:8" ht="12.75" customHeight="1" x14ac:dyDescent="0.2">
      <c r="A42" s="512" t="s">
        <v>415</v>
      </c>
      <c r="B42" s="513"/>
      <c r="C42" s="957" t="s">
        <v>416</v>
      </c>
      <c r="D42" s="958"/>
      <c r="E42" s="540"/>
      <c r="F42" s="541"/>
      <c r="G42" s="540"/>
      <c r="H42" s="541"/>
    </row>
    <row r="43" spans="1:8" ht="12.75" customHeight="1" x14ac:dyDescent="0.2">
      <c r="A43" s="512" t="s">
        <v>417</v>
      </c>
      <c r="B43" s="513"/>
      <c r="C43" s="946">
        <v>43642</v>
      </c>
      <c r="D43" s="947"/>
      <c r="E43" s="540"/>
      <c r="F43" s="541"/>
      <c r="G43" s="1021"/>
      <c r="H43" s="1022"/>
    </row>
    <row r="44" spans="1:8" ht="12.75" customHeight="1" x14ac:dyDescent="0.2">
      <c r="A44" s="795" t="s">
        <v>418</v>
      </c>
      <c r="B44" s="795"/>
      <c r="C44" s="515" t="str">
        <f>VLOOKUP(C$10,'WT (WT)'!$A$8:$K$24,11,0)</f>
        <v>Effective</v>
      </c>
      <c r="D44" s="516"/>
      <c r="E44" s="515"/>
      <c r="F44" s="516"/>
      <c r="G44" s="519"/>
      <c r="H44" s="520"/>
    </row>
    <row r="45" spans="1:8" ht="12.75" customHeight="1" x14ac:dyDescent="0.2">
      <c r="A45" s="795"/>
      <c r="B45" s="795"/>
      <c r="C45" s="517"/>
      <c r="D45" s="518"/>
      <c r="E45" s="517"/>
      <c r="F45" s="518"/>
      <c r="G45" s="521"/>
      <c r="H45" s="522"/>
    </row>
    <row r="46" spans="1:8" ht="12.75" customHeight="1" x14ac:dyDescent="0.2">
      <c r="A46" s="795" t="s">
        <v>419</v>
      </c>
      <c r="B46" s="795"/>
      <c r="C46" s="519" t="s">
        <v>330</v>
      </c>
      <c r="D46" s="520"/>
      <c r="E46" s="519"/>
      <c r="F46" s="520"/>
      <c r="G46" s="519"/>
      <c r="H46" s="520"/>
    </row>
    <row r="47" spans="1:8" ht="12.75" customHeight="1" x14ac:dyDescent="0.2">
      <c r="A47" s="795"/>
      <c r="B47" s="795"/>
      <c r="C47" s="542"/>
      <c r="D47" s="543"/>
      <c r="E47" s="542"/>
      <c r="F47" s="543"/>
      <c r="G47" s="542"/>
      <c r="H47" s="543"/>
    </row>
    <row r="48" spans="1:8" ht="12.75" customHeight="1" x14ac:dyDescent="0.2">
      <c r="A48" s="795"/>
      <c r="B48" s="795"/>
      <c r="C48" s="521"/>
      <c r="D48" s="522"/>
      <c r="E48" s="521"/>
      <c r="F48" s="522"/>
      <c r="G48" s="521"/>
      <c r="H48" s="522"/>
    </row>
    <row r="49" spans="1:8" ht="12.75" customHeight="1" x14ac:dyDescent="0.2">
      <c r="A49" s="319"/>
      <c r="B49" s="319"/>
      <c r="C49" s="313"/>
      <c r="D49" s="313"/>
      <c r="E49" s="313"/>
      <c r="F49" s="313"/>
      <c r="G49" s="320"/>
      <c r="H49" s="313"/>
    </row>
    <row r="50" spans="1:8" ht="12.75" customHeight="1" x14ac:dyDescent="0.2">
      <c r="A50" s="544" t="s">
        <v>420</v>
      </c>
      <c r="B50" s="1023" t="s">
        <v>232</v>
      </c>
      <c r="C50" s="544" t="s">
        <v>690</v>
      </c>
      <c r="D50" s="544" t="s">
        <v>691</v>
      </c>
      <c r="E50" s="544" t="s">
        <v>692</v>
      </c>
      <c r="F50" s="544" t="s">
        <v>423</v>
      </c>
      <c r="G50" s="544" t="s">
        <v>564</v>
      </c>
      <c r="H50" s="544" t="s">
        <v>542</v>
      </c>
    </row>
    <row r="51" spans="1:8" ht="12.75" customHeight="1" x14ac:dyDescent="0.2">
      <c r="A51" s="544"/>
      <c r="B51" s="1024"/>
      <c r="C51" s="544"/>
      <c r="D51" s="544"/>
      <c r="E51" s="544"/>
      <c r="F51" s="544"/>
      <c r="G51" s="544"/>
      <c r="H51" s="544"/>
    </row>
    <row r="52" spans="1:8" ht="12.75" customHeight="1" x14ac:dyDescent="0.2">
      <c r="A52" s="544"/>
      <c r="B52" s="1025"/>
      <c r="C52" s="544"/>
      <c r="D52" s="544"/>
      <c r="E52" s="544"/>
      <c r="F52" s="544"/>
      <c r="G52" s="544"/>
      <c r="H52" s="544"/>
    </row>
    <row r="53" spans="1:8" ht="12.75" customHeight="1" outlineLevel="1" x14ac:dyDescent="0.2">
      <c r="A53" s="968" t="s">
        <v>428</v>
      </c>
      <c r="B53" s="969"/>
      <c r="C53" s="970"/>
      <c r="D53" s="970"/>
      <c r="E53" s="970"/>
      <c r="F53" s="970"/>
      <c r="G53" s="970"/>
      <c r="H53" s="971"/>
    </row>
    <row r="54" spans="1:8" ht="12.75" customHeight="1" outlineLevel="1" x14ac:dyDescent="0.2">
      <c r="A54" s="972">
        <v>1</v>
      </c>
      <c r="B54" s="960" t="s">
        <v>663</v>
      </c>
      <c r="C54" s="1026" t="s">
        <v>279</v>
      </c>
      <c r="D54" s="1027" t="s">
        <v>279</v>
      </c>
      <c r="E54" s="1027" t="s">
        <v>279</v>
      </c>
      <c r="F54" s="962" t="s">
        <v>693</v>
      </c>
      <c r="G54" s="1030">
        <v>43581</v>
      </c>
      <c r="H54" s="967" t="s">
        <v>432</v>
      </c>
    </row>
    <row r="55" spans="1:8" ht="12.75" customHeight="1" outlineLevel="1" x14ac:dyDescent="0.2">
      <c r="A55" s="972"/>
      <c r="B55" s="960"/>
      <c r="C55" s="1026"/>
      <c r="D55" s="1028"/>
      <c r="E55" s="1028"/>
      <c r="F55" s="963"/>
      <c r="G55" s="1031"/>
      <c r="H55" s="967"/>
    </row>
    <row r="56" spans="1:8" ht="12.75" customHeight="1" outlineLevel="1" x14ac:dyDescent="0.2">
      <c r="A56" s="972"/>
      <c r="B56" s="960"/>
      <c r="C56" s="973"/>
      <c r="D56" s="1029"/>
      <c r="E56" s="1029"/>
      <c r="F56" s="966"/>
      <c r="G56" s="1029"/>
      <c r="H56" s="967"/>
    </row>
    <row r="57" spans="1:8" ht="12.75" customHeight="1" x14ac:dyDescent="0.2">
      <c r="A57" s="968" t="s">
        <v>436</v>
      </c>
      <c r="B57" s="969"/>
      <c r="C57" s="970"/>
      <c r="D57" s="970"/>
      <c r="E57" s="970"/>
      <c r="F57" s="970"/>
      <c r="G57" s="970"/>
      <c r="H57" s="971"/>
    </row>
    <row r="58" spans="1:8" ht="12.75" customHeight="1" outlineLevel="1" x14ac:dyDescent="0.2">
      <c r="A58" s="972"/>
      <c r="B58" s="960"/>
      <c r="C58" s="1026"/>
      <c r="D58" s="973"/>
      <c r="E58" s="973"/>
      <c r="F58" s="973"/>
      <c r="G58" s="1032"/>
      <c r="H58" s="1026"/>
    </row>
    <row r="59" spans="1:8" ht="12.75" customHeight="1" outlineLevel="1" x14ac:dyDescent="0.2">
      <c r="A59" s="972"/>
      <c r="B59" s="960"/>
      <c r="C59" s="973"/>
      <c r="D59" s="960"/>
      <c r="E59" s="960"/>
      <c r="F59" s="960"/>
      <c r="G59" s="960"/>
      <c r="H59" s="973"/>
    </row>
    <row r="60" spans="1:8" ht="12.75" customHeight="1" outlineLevel="1" x14ac:dyDescent="0.2">
      <c r="A60" s="972"/>
      <c r="B60" s="960"/>
      <c r="C60" s="973"/>
      <c r="D60" s="960"/>
      <c r="E60" s="960"/>
      <c r="F60" s="960"/>
      <c r="G60" s="960"/>
      <c r="H60" s="973"/>
    </row>
    <row r="61" spans="1:8" ht="12.75" customHeight="1" x14ac:dyDescent="0.2">
      <c r="A61" s="976" t="s">
        <v>437</v>
      </c>
      <c r="B61" s="970"/>
      <c r="C61" s="970"/>
      <c r="D61" s="970"/>
      <c r="E61" s="970"/>
      <c r="F61" s="970"/>
      <c r="G61" s="970"/>
      <c r="H61" s="971"/>
    </row>
    <row r="62" spans="1:8" ht="12.75" customHeight="1" outlineLevel="1" x14ac:dyDescent="0.2">
      <c r="A62" s="972"/>
      <c r="B62" s="960"/>
      <c r="C62" s="1026"/>
      <c r="D62" s="973"/>
      <c r="E62" s="973"/>
      <c r="F62" s="973"/>
      <c r="G62" s="1032"/>
      <c r="H62" s="1026"/>
    </row>
    <row r="63" spans="1:8" ht="12.75" customHeight="1" outlineLevel="1" x14ac:dyDescent="0.2">
      <c r="A63" s="972"/>
      <c r="B63" s="960"/>
      <c r="C63" s="973"/>
      <c r="D63" s="960"/>
      <c r="E63" s="960"/>
      <c r="F63" s="960"/>
      <c r="G63" s="960"/>
      <c r="H63" s="973"/>
    </row>
    <row r="64" spans="1:8" ht="12.75" customHeight="1" outlineLevel="1" x14ac:dyDescent="0.2">
      <c r="A64" s="972"/>
      <c r="B64" s="960"/>
      <c r="C64" s="973"/>
      <c r="D64" s="960"/>
      <c r="E64" s="960"/>
      <c r="F64" s="960"/>
      <c r="G64" s="960"/>
      <c r="H64" s="973"/>
    </row>
    <row r="65" spans="1:8" ht="12.75" customHeight="1" x14ac:dyDescent="0.2">
      <c r="A65" s="312"/>
      <c r="B65" s="312"/>
      <c r="C65" s="975"/>
      <c r="D65" s="975"/>
      <c r="E65" s="312"/>
      <c r="F65" s="312"/>
      <c r="G65" s="312"/>
    </row>
    <row r="66" spans="1:8" ht="12.75" customHeight="1" x14ac:dyDescent="0.2">
      <c r="A66" s="282"/>
      <c r="B66" s="282"/>
      <c r="C66" s="506" t="s">
        <v>409</v>
      </c>
      <c r="D66" s="507"/>
      <c r="E66" s="504" t="s">
        <v>410</v>
      </c>
      <c r="F66" s="504"/>
      <c r="G66" s="505" t="s">
        <v>437</v>
      </c>
      <c r="H66" s="505"/>
    </row>
    <row r="67" spans="1:8" ht="12.75" customHeight="1" x14ac:dyDescent="0.2">
      <c r="A67" s="512" t="s">
        <v>438</v>
      </c>
      <c r="B67" s="556"/>
      <c r="C67" s="557" t="s">
        <v>439</v>
      </c>
      <c r="D67" s="558"/>
      <c r="E67" s="540"/>
      <c r="F67" s="541"/>
      <c r="G67" s="557"/>
      <c r="H67" s="558"/>
    </row>
    <row r="68" spans="1:8" ht="12.75" customHeight="1" x14ac:dyDescent="0.2">
      <c r="A68" s="512" t="s">
        <v>440</v>
      </c>
      <c r="B68" s="556"/>
      <c r="C68" s="514">
        <v>43643</v>
      </c>
      <c r="D68" s="581"/>
      <c r="E68" s="540"/>
      <c r="F68" s="541"/>
      <c r="G68" s="514"/>
      <c r="H68" s="581"/>
    </row>
    <row r="69" spans="1:8" ht="12.75" customHeight="1" x14ac:dyDescent="0.2">
      <c r="A69" s="512" t="s">
        <v>441</v>
      </c>
      <c r="B69" s="556"/>
      <c r="C69" s="582" t="s">
        <v>330</v>
      </c>
      <c r="D69" s="583"/>
      <c r="E69" s="557" t="s">
        <v>392</v>
      </c>
      <c r="F69" s="558"/>
      <c r="G69" s="557" t="s">
        <v>392</v>
      </c>
      <c r="H69" s="558"/>
    </row>
    <row r="70" spans="1:8" ht="12.75" customHeight="1" x14ac:dyDescent="0.2">
      <c r="A70" s="312"/>
      <c r="B70" s="312"/>
      <c r="C70" s="312"/>
      <c r="D70" s="312"/>
      <c r="E70" s="312"/>
      <c r="F70" s="312"/>
      <c r="G70" s="312"/>
      <c r="H70" s="312"/>
    </row>
    <row r="71" spans="1:8" ht="12.75" customHeight="1" x14ac:dyDescent="0.2">
      <c r="A71" s="977" t="s">
        <v>442</v>
      </c>
      <c r="B71" s="978"/>
      <c r="C71" s="312"/>
      <c r="D71" s="312"/>
      <c r="E71" s="312"/>
      <c r="F71" s="312"/>
      <c r="G71" s="312"/>
    </row>
    <row r="72" spans="1:8" ht="12.75" customHeight="1" x14ac:dyDescent="0.2">
      <c r="A72" s="979" t="s">
        <v>279</v>
      </c>
      <c r="B72" s="980"/>
      <c r="C72" s="983" t="s">
        <v>443</v>
      </c>
      <c r="D72" s="984"/>
      <c r="E72" s="984"/>
      <c r="F72" s="984"/>
      <c r="G72" s="984"/>
      <c r="H72" s="985"/>
    </row>
    <row r="73" spans="1:8" ht="12.75" customHeight="1" x14ac:dyDescent="0.2">
      <c r="A73" s="981"/>
      <c r="B73" s="982"/>
      <c r="C73" s="986"/>
      <c r="D73" s="987"/>
      <c r="E73" s="987"/>
      <c r="F73" s="987"/>
      <c r="G73" s="987"/>
      <c r="H73" s="988"/>
    </row>
    <row r="74" spans="1:8" ht="12.75" customHeight="1" x14ac:dyDescent="0.2">
      <c r="A74" s="989" t="s">
        <v>432</v>
      </c>
      <c r="B74" s="990"/>
      <c r="C74" s="983" t="s">
        <v>444</v>
      </c>
      <c r="D74" s="984"/>
      <c r="E74" s="984"/>
      <c r="F74" s="984"/>
      <c r="G74" s="984"/>
      <c r="H74" s="985"/>
    </row>
    <row r="75" spans="1:8" ht="12.75" customHeight="1" x14ac:dyDescent="0.2">
      <c r="A75" s="991"/>
      <c r="B75" s="992"/>
      <c r="C75" s="986"/>
      <c r="D75" s="987"/>
      <c r="E75" s="987"/>
      <c r="F75" s="987"/>
      <c r="G75" s="987"/>
      <c r="H75" s="988"/>
    </row>
    <row r="76" spans="1:8" ht="12.75" customHeight="1" x14ac:dyDescent="0.2">
      <c r="C76" s="288"/>
      <c r="D76" s="288"/>
      <c r="E76" s="288"/>
      <c r="F76" s="288"/>
      <c r="G76" s="288"/>
      <c r="H76" s="288"/>
    </row>
    <row r="77" spans="1:8" ht="12.75" customHeight="1" x14ac:dyDescent="0.2">
      <c r="A77" s="843" t="s">
        <v>370</v>
      </c>
      <c r="B77" s="843"/>
      <c r="C77" s="843"/>
      <c r="D77" s="843"/>
      <c r="E77" s="843"/>
      <c r="F77" s="843"/>
      <c r="G77" s="843"/>
      <c r="H77" s="843"/>
    </row>
    <row r="78" spans="1:8" ht="12.75" customHeight="1" x14ac:dyDescent="0.2">
      <c r="A78" s="283" t="s">
        <v>449</v>
      </c>
      <c r="B78" s="283" t="s">
        <v>450</v>
      </c>
      <c r="C78" s="283" t="s">
        <v>451</v>
      </c>
      <c r="D78" s="843" t="s">
        <v>452</v>
      </c>
      <c r="E78" s="843"/>
      <c r="F78" s="843"/>
      <c r="G78" s="843"/>
      <c r="H78" s="843"/>
    </row>
    <row r="79" spans="1:8" ht="12.75" customHeight="1" x14ac:dyDescent="0.2">
      <c r="A79" s="908" t="s">
        <v>453</v>
      </c>
      <c r="B79" s="908" t="s">
        <v>454</v>
      </c>
      <c r="C79" s="908" t="s">
        <v>455</v>
      </c>
      <c r="D79" s="894" t="s">
        <v>456</v>
      </c>
      <c r="E79" s="895" t="s">
        <v>457</v>
      </c>
      <c r="F79" s="895"/>
      <c r="G79" s="801" t="s">
        <v>455</v>
      </c>
      <c r="H79" s="801"/>
    </row>
    <row r="80" spans="1:8" ht="12.75" customHeight="1" x14ac:dyDescent="0.2">
      <c r="A80" s="908"/>
      <c r="B80" s="908"/>
      <c r="C80" s="908"/>
      <c r="D80" s="894"/>
      <c r="E80" s="895"/>
      <c r="F80" s="895"/>
      <c r="G80" s="801"/>
      <c r="H80" s="801"/>
    </row>
    <row r="81" spans="1:8" ht="12.75" customHeight="1" x14ac:dyDescent="0.2">
      <c r="A81" s="908"/>
      <c r="B81" s="908"/>
      <c r="C81" s="908"/>
      <c r="D81" s="894"/>
      <c r="E81" s="895"/>
      <c r="F81" s="895"/>
      <c r="G81" s="801"/>
      <c r="H81" s="801"/>
    </row>
    <row r="82" spans="1:8" ht="12.75" customHeight="1" x14ac:dyDescent="0.2">
      <c r="A82" s="908"/>
      <c r="B82" s="908"/>
      <c r="C82" s="908"/>
      <c r="D82" s="894"/>
      <c r="E82" s="895"/>
      <c r="F82" s="895"/>
      <c r="G82" s="801"/>
      <c r="H82" s="801"/>
    </row>
    <row r="83" spans="1:8" ht="12.75" customHeight="1" x14ac:dyDescent="0.2">
      <c r="A83" s="908"/>
      <c r="B83" s="908"/>
      <c r="C83" s="908"/>
      <c r="D83" s="894"/>
      <c r="E83" s="895"/>
      <c r="F83" s="895"/>
      <c r="G83" s="801"/>
      <c r="H83" s="801"/>
    </row>
    <row r="84" spans="1:8" ht="12.75" customHeight="1" x14ac:dyDescent="0.2">
      <c r="A84" s="908"/>
      <c r="B84" s="908"/>
      <c r="C84" s="908"/>
      <c r="D84" s="894" t="s">
        <v>458</v>
      </c>
      <c r="E84" s="895" t="s">
        <v>459</v>
      </c>
      <c r="F84" s="895"/>
      <c r="G84" s="801" t="s">
        <v>455</v>
      </c>
      <c r="H84" s="801"/>
    </row>
    <row r="85" spans="1:8" ht="12.75" customHeight="1" x14ac:dyDescent="0.2">
      <c r="A85" s="908"/>
      <c r="B85" s="908"/>
      <c r="C85" s="908"/>
      <c r="D85" s="894"/>
      <c r="E85" s="895"/>
      <c r="F85" s="895"/>
      <c r="G85" s="801"/>
      <c r="H85" s="801"/>
    </row>
    <row r="86" spans="1:8" ht="12.75" customHeight="1" x14ac:dyDescent="0.2">
      <c r="A86" s="908"/>
      <c r="B86" s="908"/>
      <c r="C86" s="908"/>
      <c r="D86" s="894"/>
      <c r="E86" s="895"/>
      <c r="F86" s="895"/>
      <c r="G86" s="801"/>
      <c r="H86" s="801"/>
    </row>
    <row r="87" spans="1:8" ht="12.75" customHeight="1" x14ac:dyDescent="0.2">
      <c r="A87" s="908"/>
      <c r="B87" s="908"/>
      <c r="C87" s="908"/>
      <c r="D87" s="894"/>
      <c r="E87" s="895"/>
      <c r="F87" s="895"/>
      <c r="G87" s="801"/>
      <c r="H87" s="801"/>
    </row>
    <row r="88" spans="1:8" ht="12.75" customHeight="1" x14ac:dyDescent="0.2">
      <c r="A88" s="908"/>
      <c r="B88" s="908"/>
      <c r="C88" s="908"/>
      <c r="D88" s="894"/>
      <c r="E88" s="895"/>
      <c r="F88" s="895"/>
      <c r="G88" s="801"/>
      <c r="H88" s="801"/>
    </row>
    <row r="89" spans="1:8" ht="12.75" customHeight="1" x14ac:dyDescent="0.2">
      <c r="A89" s="908"/>
      <c r="B89" s="908"/>
      <c r="C89" s="908"/>
      <c r="D89" s="894" t="s">
        <v>460</v>
      </c>
      <c r="E89" s="895" t="s">
        <v>461</v>
      </c>
      <c r="F89" s="895"/>
      <c r="G89" s="801" t="s">
        <v>455</v>
      </c>
      <c r="H89" s="801"/>
    </row>
    <row r="90" spans="1:8" ht="12.75" customHeight="1" x14ac:dyDescent="0.2">
      <c r="A90" s="908"/>
      <c r="B90" s="908"/>
      <c r="C90" s="908"/>
      <c r="D90" s="894"/>
      <c r="E90" s="895"/>
      <c r="F90" s="895"/>
      <c r="G90" s="801"/>
      <c r="H90" s="801"/>
    </row>
    <row r="91" spans="1:8" ht="12.75" customHeight="1" x14ac:dyDescent="0.2">
      <c r="A91" s="908"/>
      <c r="B91" s="908"/>
      <c r="C91" s="908"/>
      <c r="D91" s="894"/>
      <c r="E91" s="895"/>
      <c r="F91" s="895"/>
      <c r="G91" s="801"/>
      <c r="H91" s="801"/>
    </row>
    <row r="92" spans="1:8" ht="12.75" customHeight="1" x14ac:dyDescent="0.2">
      <c r="A92" s="908"/>
      <c r="B92" s="908"/>
      <c r="C92" s="908"/>
      <c r="D92" s="894"/>
      <c r="E92" s="895"/>
      <c r="F92" s="895"/>
      <c r="G92" s="801"/>
      <c r="H92" s="801"/>
    </row>
    <row r="93" spans="1:8" ht="12.75" customHeight="1" x14ac:dyDescent="0.2">
      <c r="A93" s="908"/>
      <c r="B93" s="908"/>
      <c r="C93" s="908"/>
      <c r="D93" s="894"/>
      <c r="E93" s="895"/>
      <c r="F93" s="895"/>
      <c r="G93" s="801"/>
      <c r="H93" s="801"/>
    </row>
    <row r="94" spans="1:8" ht="12.75" customHeight="1" x14ac:dyDescent="0.2">
      <c r="A94" s="908"/>
      <c r="B94" s="908"/>
      <c r="C94" s="908"/>
      <c r="D94" s="894"/>
      <c r="E94" s="895" t="s">
        <v>462</v>
      </c>
      <c r="F94" s="895"/>
      <c r="G94" s="844" t="s">
        <v>336</v>
      </c>
      <c r="H94" s="844"/>
    </row>
    <row r="95" spans="1:8" ht="12.75" customHeight="1" x14ac:dyDescent="0.2">
      <c r="A95" s="908"/>
      <c r="B95" s="908"/>
      <c r="C95" s="908"/>
      <c r="D95" s="894"/>
      <c r="E95" s="895"/>
      <c r="F95" s="895"/>
      <c r="G95" s="844"/>
      <c r="H95" s="844"/>
    </row>
    <row r="96" spans="1:8" ht="12.75" customHeight="1" x14ac:dyDescent="0.2">
      <c r="A96" s="908"/>
      <c r="B96" s="908"/>
      <c r="C96" s="908"/>
      <c r="D96" s="894"/>
      <c r="E96" s="895" t="s">
        <v>463</v>
      </c>
      <c r="F96" s="895"/>
      <c r="G96" s="801" t="s">
        <v>455</v>
      </c>
      <c r="H96" s="801"/>
    </row>
    <row r="97" spans="1:8" ht="12.75" customHeight="1" x14ac:dyDescent="0.2">
      <c r="A97" s="908"/>
      <c r="B97" s="908"/>
      <c r="C97" s="908"/>
      <c r="D97" s="894"/>
      <c r="E97" s="895"/>
      <c r="F97" s="895"/>
      <c r="G97" s="801"/>
      <c r="H97" s="801"/>
    </row>
    <row r="98" spans="1:8" ht="12.75" customHeight="1" x14ac:dyDescent="0.2">
      <c r="A98" s="908"/>
      <c r="B98" s="908"/>
      <c r="C98" s="908"/>
      <c r="D98" s="894"/>
      <c r="E98" s="895"/>
      <c r="F98" s="895"/>
      <c r="G98" s="801"/>
      <c r="H98" s="801"/>
    </row>
    <row r="99" spans="1:8" ht="12.75" customHeight="1" x14ac:dyDescent="0.2">
      <c r="A99" s="908"/>
      <c r="B99" s="908"/>
      <c r="C99" s="908"/>
      <c r="D99" s="894"/>
      <c r="E99" s="895"/>
      <c r="F99" s="895"/>
      <c r="G99" s="801"/>
      <c r="H99" s="801"/>
    </row>
    <row r="100" spans="1:8" ht="12.75" customHeight="1" x14ac:dyDescent="0.2">
      <c r="A100" s="908"/>
      <c r="B100" s="908"/>
      <c r="C100" s="908"/>
      <c r="D100" s="894"/>
      <c r="E100" s="895"/>
      <c r="F100" s="895"/>
      <c r="G100" s="801"/>
      <c r="H100" s="801"/>
    </row>
    <row r="101" spans="1:8" ht="12.75" customHeight="1" x14ac:dyDescent="0.2">
      <c r="A101" s="908"/>
      <c r="B101" s="908"/>
      <c r="C101" s="908"/>
      <c r="D101" s="894"/>
      <c r="E101" s="895" t="s">
        <v>464</v>
      </c>
      <c r="F101" s="895"/>
      <c r="G101" s="844" t="s">
        <v>336</v>
      </c>
      <c r="H101" s="844"/>
    </row>
    <row r="102" spans="1:8" ht="12.75" customHeight="1" x14ac:dyDescent="0.2">
      <c r="A102" s="908"/>
      <c r="B102" s="908"/>
      <c r="C102" s="908"/>
      <c r="D102" s="894"/>
      <c r="E102" s="895"/>
      <c r="F102" s="895"/>
      <c r="G102" s="844"/>
      <c r="H102" s="844"/>
    </row>
    <row r="103" spans="1:8" ht="12.75" customHeight="1" x14ac:dyDescent="0.2">
      <c r="A103" s="908"/>
      <c r="B103" s="908"/>
      <c r="C103" s="908"/>
      <c r="D103" s="894" t="s">
        <v>465</v>
      </c>
      <c r="E103" s="895" t="s">
        <v>466</v>
      </c>
      <c r="F103" s="895"/>
      <c r="G103" s="801" t="s">
        <v>455</v>
      </c>
      <c r="H103" s="801"/>
    </row>
    <row r="104" spans="1:8" ht="12.75" customHeight="1" x14ac:dyDescent="0.2">
      <c r="A104" s="908"/>
      <c r="B104" s="908"/>
      <c r="C104" s="908"/>
      <c r="D104" s="894"/>
      <c r="E104" s="895"/>
      <c r="F104" s="895"/>
      <c r="G104" s="801"/>
      <c r="H104" s="801"/>
    </row>
    <row r="105" spans="1:8" ht="12.75" customHeight="1" x14ac:dyDescent="0.2">
      <c r="A105" s="908"/>
      <c r="B105" s="908"/>
      <c r="C105" s="908"/>
      <c r="D105" s="894"/>
      <c r="E105" s="895"/>
      <c r="F105" s="895"/>
      <c r="G105" s="801"/>
      <c r="H105" s="801"/>
    </row>
    <row r="106" spans="1:8" ht="12.75" customHeight="1" x14ac:dyDescent="0.2">
      <c r="A106" s="908"/>
      <c r="B106" s="908"/>
      <c r="C106" s="908"/>
      <c r="D106" s="894"/>
      <c r="E106" s="895"/>
      <c r="F106" s="895"/>
      <c r="G106" s="801"/>
      <c r="H106" s="801"/>
    </row>
    <row r="107" spans="1:8" ht="12.75" customHeight="1" x14ac:dyDescent="0.2">
      <c r="A107" s="908"/>
      <c r="B107" s="908"/>
      <c r="C107" s="908"/>
      <c r="D107" s="894"/>
      <c r="E107" s="895"/>
      <c r="F107" s="895"/>
      <c r="G107" s="801"/>
      <c r="H107" s="801"/>
    </row>
    <row r="108" spans="1:8" ht="12.75" customHeight="1" x14ac:dyDescent="0.2">
      <c r="A108" s="908"/>
      <c r="B108" s="908"/>
      <c r="C108" s="908"/>
      <c r="D108" s="894"/>
      <c r="E108" s="895" t="s">
        <v>467</v>
      </c>
      <c r="F108" s="895"/>
      <c r="G108" s="844" t="s">
        <v>336</v>
      </c>
      <c r="H108" s="844"/>
    </row>
    <row r="109" spans="1:8" ht="12.75" customHeight="1" x14ac:dyDescent="0.2">
      <c r="A109" s="908"/>
      <c r="B109" s="908"/>
      <c r="C109" s="908"/>
      <c r="D109" s="894"/>
      <c r="E109" s="895"/>
      <c r="F109" s="895"/>
      <c r="G109" s="844"/>
      <c r="H109" s="844"/>
    </row>
    <row r="110" spans="1:8" ht="12.75" customHeight="1" x14ac:dyDescent="0.2">
      <c r="A110" s="908" t="s">
        <v>453</v>
      </c>
      <c r="B110" s="908" t="s">
        <v>468</v>
      </c>
      <c r="C110" s="908" t="s">
        <v>455</v>
      </c>
      <c r="D110" s="896" t="s">
        <v>456</v>
      </c>
      <c r="E110" s="897" t="s">
        <v>469</v>
      </c>
      <c r="F110" s="897"/>
      <c r="G110" s="909" t="s">
        <v>455</v>
      </c>
      <c r="H110" s="909"/>
    </row>
    <row r="111" spans="1:8" ht="12.75" customHeight="1" x14ac:dyDescent="0.2">
      <c r="A111" s="908"/>
      <c r="B111" s="908"/>
      <c r="C111" s="908"/>
      <c r="D111" s="896"/>
      <c r="E111" s="897"/>
      <c r="F111" s="897"/>
      <c r="G111" s="909"/>
      <c r="H111" s="909"/>
    </row>
    <row r="112" spans="1:8" ht="12.75" customHeight="1" x14ac:dyDescent="0.2">
      <c r="A112" s="908"/>
      <c r="B112" s="908"/>
      <c r="C112" s="908"/>
      <c r="D112" s="896"/>
      <c r="E112" s="897"/>
      <c r="F112" s="897"/>
      <c r="G112" s="909"/>
      <c r="H112" s="909"/>
    </row>
    <row r="113" spans="1:8" ht="12.75" customHeight="1" x14ac:dyDescent="0.2">
      <c r="A113" s="908"/>
      <c r="B113" s="908"/>
      <c r="C113" s="908"/>
      <c r="D113" s="896"/>
      <c r="E113" s="897"/>
      <c r="F113" s="897"/>
      <c r="G113" s="909"/>
      <c r="H113" s="909"/>
    </row>
    <row r="114" spans="1:8" ht="12.75" customHeight="1" x14ac:dyDescent="0.2">
      <c r="A114" s="908"/>
      <c r="B114" s="908"/>
      <c r="C114" s="908"/>
      <c r="D114" s="896"/>
      <c r="E114" s="897"/>
      <c r="F114" s="897"/>
      <c r="G114" s="909"/>
      <c r="H114" s="909"/>
    </row>
  </sheetData>
  <sheetProtection algorithmName="SHA-512" hashValue="241p9DApz4ZUQT7zqlnQxt5Gp5Ig4+vAQzpI7wlEKcanFG8NymphE1X+3aiN/xrwrR766TDmP8xlQHDjP5Dlzg==" saltValue="pEXPmicf/1/Mvl7uMJUXoA==" spinCount="100000" sheet="1" objects="1" scenarios="1"/>
  <mergeCells count="140">
    <mergeCell ref="G110:H114"/>
    <mergeCell ref="D103:D109"/>
    <mergeCell ref="E103:F107"/>
    <mergeCell ref="G103:H107"/>
    <mergeCell ref="E108:F109"/>
    <mergeCell ref="G108:H109"/>
    <mergeCell ref="A110:A114"/>
    <mergeCell ref="B110:B114"/>
    <mergeCell ref="C110:C114"/>
    <mergeCell ref="D110:D114"/>
    <mergeCell ref="E110:F114"/>
    <mergeCell ref="D78:H78"/>
    <mergeCell ref="A79:A109"/>
    <mergeCell ref="B79:B109"/>
    <mergeCell ref="C79:C109"/>
    <mergeCell ref="D79:D83"/>
    <mergeCell ref="E79:F83"/>
    <mergeCell ref="G79:H83"/>
    <mergeCell ref="D84:D88"/>
    <mergeCell ref="E84:F88"/>
    <mergeCell ref="G84:H88"/>
    <mergeCell ref="D89:D102"/>
    <mergeCell ref="E89:F93"/>
    <mergeCell ref="G89:H93"/>
    <mergeCell ref="E94:F95"/>
    <mergeCell ref="G94:H95"/>
    <mergeCell ref="E96:F100"/>
    <mergeCell ref="G96:H100"/>
    <mergeCell ref="E101:F102"/>
    <mergeCell ref="G101:H102"/>
    <mergeCell ref="A71:B71"/>
    <mergeCell ref="A72:B73"/>
    <mergeCell ref="C72:H73"/>
    <mergeCell ref="A74:B75"/>
    <mergeCell ref="C74:H75"/>
    <mergeCell ref="A77:H77"/>
    <mergeCell ref="A68:B68"/>
    <mergeCell ref="C68:D68"/>
    <mergeCell ref="E68:F68"/>
    <mergeCell ref="G68:H68"/>
    <mergeCell ref="A69:B69"/>
    <mergeCell ref="C69:D69"/>
    <mergeCell ref="E69:F69"/>
    <mergeCell ref="G69:H69"/>
    <mergeCell ref="C65:D65"/>
    <mergeCell ref="C66:D66"/>
    <mergeCell ref="E66:F66"/>
    <mergeCell ref="G66:H66"/>
    <mergeCell ref="A67:B67"/>
    <mergeCell ref="C67:D67"/>
    <mergeCell ref="E67:F67"/>
    <mergeCell ref="G67:H67"/>
    <mergeCell ref="A61:H61"/>
    <mergeCell ref="A62:A64"/>
    <mergeCell ref="B62:B64"/>
    <mergeCell ref="C62:C64"/>
    <mergeCell ref="D62:D64"/>
    <mergeCell ref="E62:E64"/>
    <mergeCell ref="F62:F64"/>
    <mergeCell ref="G62:G64"/>
    <mergeCell ref="H62:H64"/>
    <mergeCell ref="A57:H57"/>
    <mergeCell ref="A58:A60"/>
    <mergeCell ref="B58:B60"/>
    <mergeCell ref="C58:C60"/>
    <mergeCell ref="D58:D60"/>
    <mergeCell ref="E58:E60"/>
    <mergeCell ref="F58:F60"/>
    <mergeCell ref="G58:G60"/>
    <mergeCell ref="H58:H60"/>
    <mergeCell ref="A53:H53"/>
    <mergeCell ref="A54:A56"/>
    <mergeCell ref="B54:B56"/>
    <mergeCell ref="C54:C56"/>
    <mergeCell ref="D54:D56"/>
    <mergeCell ref="E54:E56"/>
    <mergeCell ref="F54:F56"/>
    <mergeCell ref="G54:G56"/>
    <mergeCell ref="H54:H56"/>
    <mergeCell ref="A46:B48"/>
    <mergeCell ref="C46:D48"/>
    <mergeCell ref="E46:F48"/>
    <mergeCell ref="G46:H48"/>
    <mergeCell ref="A50:A52"/>
    <mergeCell ref="B50:B52"/>
    <mergeCell ref="C50:C52"/>
    <mergeCell ref="D50:D52"/>
    <mergeCell ref="E50:E52"/>
    <mergeCell ref="F50:F52"/>
    <mergeCell ref="G50:G52"/>
    <mergeCell ref="H50:H52"/>
    <mergeCell ref="A43:B43"/>
    <mergeCell ref="C43:D43"/>
    <mergeCell ref="E43:F43"/>
    <mergeCell ref="G43:H43"/>
    <mergeCell ref="A44:B45"/>
    <mergeCell ref="C44:D45"/>
    <mergeCell ref="E44:F45"/>
    <mergeCell ref="G44:H45"/>
    <mergeCell ref="A33:B41"/>
    <mergeCell ref="C33:D41"/>
    <mergeCell ref="E33:F41"/>
    <mergeCell ref="G33:H41"/>
    <mergeCell ref="A42:B42"/>
    <mergeCell ref="C42:D42"/>
    <mergeCell ref="E42:F42"/>
    <mergeCell ref="G42:H42"/>
    <mergeCell ref="A28:B29"/>
    <mergeCell ref="C28:H29"/>
    <mergeCell ref="C31:D31"/>
    <mergeCell ref="E31:F31"/>
    <mergeCell ref="G31:H31"/>
    <mergeCell ref="A32:B32"/>
    <mergeCell ref="C32:D32"/>
    <mergeCell ref="E32:F32"/>
    <mergeCell ref="G32:H32"/>
    <mergeCell ref="A25:B25"/>
    <mergeCell ref="C25:H25"/>
    <mergeCell ref="A26:B26"/>
    <mergeCell ref="C26:H26"/>
    <mergeCell ref="A27:B27"/>
    <mergeCell ref="C27:H27"/>
    <mergeCell ref="A22:B22"/>
    <mergeCell ref="C22:H22"/>
    <mergeCell ref="A23:B23"/>
    <mergeCell ref="C23:H23"/>
    <mergeCell ref="A24:B24"/>
    <mergeCell ref="C24:H24"/>
    <mergeCell ref="A11:B14"/>
    <mergeCell ref="C11:H14"/>
    <mergeCell ref="A16:B20"/>
    <mergeCell ref="C16:H20"/>
    <mergeCell ref="A21:B21"/>
    <mergeCell ref="C21:H21"/>
    <mergeCell ref="A8:B8"/>
    <mergeCell ref="C8:H8"/>
    <mergeCell ref="A9:B9"/>
    <mergeCell ref="C9:H9"/>
    <mergeCell ref="A10:B10"/>
    <mergeCell ref="C10:H10"/>
  </mergeCells>
  <conditionalFormatting sqref="G94">
    <cfRule type="containsText" dxfId="83" priority="7" operator="containsText" text="Yes">
      <formula>NOT(ISERROR(SEARCH("Yes",G94)))</formula>
    </cfRule>
    <cfRule type="containsText" dxfId="82" priority="8" operator="containsText" text="No">
      <formula>NOT(ISERROR(SEARCH("No",G94)))</formula>
    </cfRule>
    <cfRule type="containsText" dxfId="81" priority="9" operator="containsText" text="N/A">
      <formula>NOT(ISERROR(SEARCH("N/A",G94)))</formula>
    </cfRule>
  </conditionalFormatting>
  <conditionalFormatting sqref="G101">
    <cfRule type="containsText" dxfId="80" priority="4" operator="containsText" text="Yes">
      <formula>NOT(ISERROR(SEARCH("Yes",G101)))</formula>
    </cfRule>
    <cfRule type="containsText" dxfId="79" priority="5" operator="containsText" text="No">
      <formula>NOT(ISERROR(SEARCH("No",G101)))</formula>
    </cfRule>
    <cfRule type="containsText" dxfId="78" priority="6" operator="containsText" text="N/A">
      <formula>NOT(ISERROR(SEARCH("N/A",G101)))</formula>
    </cfRule>
  </conditionalFormatting>
  <conditionalFormatting sqref="G108">
    <cfRule type="containsText" dxfId="77" priority="1" operator="containsText" text="Yes">
      <formula>NOT(ISERROR(SEARCH("Yes",G108)))</formula>
    </cfRule>
    <cfRule type="containsText" dxfId="76" priority="2" operator="containsText" text="No">
      <formula>NOT(ISERROR(SEARCH("No",G108)))</formula>
    </cfRule>
    <cfRule type="containsText" dxfId="75" priority="3" operator="containsText" text="N/A">
      <formula>NOT(ISERROR(SEARCH("N/A",G108)))</formula>
    </cfRule>
  </conditionalFormatting>
  <pageMargins left="0.7" right="0.7" top="0.75" bottom="0.75" header="0.3" footer="0.3"/>
  <pageSetup scale="58" fitToHeight="0" orientation="landscape" r:id="rId1"/>
  <drawing r:id="rId2"/>
  <legacyDrawing r:id="rId3"/>
  <controls>
    <mc:AlternateContent xmlns:mc="http://schemas.openxmlformats.org/markup-compatibility/2006">
      <mc:Choice Requires="x14">
        <control shapeId="21505"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21505" r:id="rId4" name="backMenuBtn"/>
      </mc:Fallback>
    </mc:AlternateContent>
    <mc:AlternateContent xmlns:mc="http://schemas.openxmlformats.org/markup-compatibility/2006">
      <mc:Choice Requires="x14">
        <control shapeId="21506" r:id="rId6" name="CommandButton1">
          <controlPr defaultSize="0" autoLine="0" r:id="rId7">
            <anchor moveWithCells="1">
              <from>
                <xdr:col>1</xdr:col>
                <xdr:colOff>638175</xdr:colOff>
                <xdr:row>0</xdr:row>
                <xdr:rowOff>0</xdr:rowOff>
              </from>
              <to>
                <xdr:col>1</xdr:col>
                <xdr:colOff>1838325</xdr:colOff>
                <xdr:row>1</xdr:row>
                <xdr:rowOff>114300</xdr:rowOff>
              </to>
            </anchor>
          </controlPr>
        </control>
      </mc:Choice>
      <mc:Fallback>
        <control shapeId="21506" r:id="rId6" name="CommandButton1"/>
      </mc:Fallback>
    </mc:AlternateContent>
    <mc:AlternateContent xmlns:mc="http://schemas.openxmlformats.org/markup-compatibility/2006">
      <mc:Choice Requires="x14">
        <control shapeId="21507" r:id="rId8" name="CommandButton2">
          <controlPr defaultSize="0" autoLine="0" r:id="rId9">
            <anchor moveWithCells="1">
              <from>
                <xdr:col>0</xdr:col>
                <xdr:colOff>1343025</xdr:colOff>
                <xdr:row>0</xdr:row>
                <xdr:rowOff>9525</xdr:rowOff>
              </from>
              <to>
                <xdr:col>1</xdr:col>
                <xdr:colOff>504825</xdr:colOff>
                <xdr:row>1</xdr:row>
                <xdr:rowOff>123825</xdr:rowOff>
              </to>
            </anchor>
          </controlPr>
        </control>
      </mc:Choice>
      <mc:Fallback>
        <control shapeId="21507" r:id="rId8"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Dropdown!$H$2:$H$13</xm:f>
          </x14:formula1>
          <xm:sqref>C46:H48 C69:H69</xm:sqref>
        </x14:dataValidation>
        <x14:dataValidation type="list" allowBlank="1" showInputMessage="1" showErrorMessage="1">
          <x14:formula1>
            <xm:f>Dropdown!$I$2:$I$5</xm:f>
          </x14:formula1>
          <xm:sqref>G94:H95 G101:H102 G108:H109</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B050"/>
    <pageSetUpPr fitToPage="1"/>
  </sheetPr>
  <dimension ref="A1:H187"/>
  <sheetViews>
    <sheetView showGridLines="0" zoomScale="75" zoomScaleNormal="75" zoomScalePageLayoutView="60" workbookViewId="0">
      <pane xSplit="2" ySplit="13" topLeftCell="C14" activePane="bottomRight" state="frozen"/>
      <selection activeCell="C156" sqref="C156"/>
      <selection pane="topRight" activeCell="C156" sqref="C156"/>
      <selection pane="bottomLeft" activeCell="C156" sqref="C156"/>
      <selection pane="bottomRight" activeCell="C142" sqref="C142:C172"/>
    </sheetView>
  </sheetViews>
  <sheetFormatPr defaultColWidth="9.140625" defaultRowHeight="12.75" customHeight="1" outlineLevelRow="1" x14ac:dyDescent="0.2"/>
  <cols>
    <col min="1" max="8" width="30.5703125" style="267" customWidth="1"/>
    <col min="9" max="9" width="1.5703125" style="267" customWidth="1"/>
    <col min="10" max="16384" width="9.140625" style="267"/>
  </cols>
  <sheetData>
    <row r="1" spans="1:8" ht="12.75" customHeight="1" x14ac:dyDescent="0.2">
      <c r="A1" s="267" t="s">
        <v>750</v>
      </c>
    </row>
    <row r="3" spans="1:8" ht="12.75" customHeight="1" outlineLevel="1" x14ac:dyDescent="0.2">
      <c r="A3" s="225" t="str">
        <f>Narrative!A3</f>
        <v>ViewRay</v>
      </c>
    </row>
    <row r="4" spans="1:8" ht="12.75" customHeight="1" outlineLevel="1" x14ac:dyDescent="0.2">
      <c r="A4" s="228" t="s">
        <v>394</v>
      </c>
    </row>
    <row r="5" spans="1:8" ht="12.75" customHeight="1" outlineLevel="1" x14ac:dyDescent="0.2">
      <c r="A5" s="225" t="str">
        <f>Narrative!A5</f>
        <v>Financial Close and Reporting (FCR)</v>
      </c>
    </row>
    <row r="6" spans="1:8" ht="12.75" customHeight="1" outlineLevel="1" x14ac:dyDescent="0.2">
      <c r="A6" s="225" t="str">
        <f>Narrative!A6</f>
        <v>FY 2019</v>
      </c>
    </row>
    <row r="7" spans="1:8" ht="12.75" customHeight="1" outlineLevel="1" x14ac:dyDescent="0.2">
      <c r="A7" s="311"/>
      <c r="B7" s="311"/>
      <c r="C7" s="312"/>
      <c r="D7" s="312"/>
      <c r="E7" s="312"/>
      <c r="F7" s="312"/>
      <c r="G7" s="312"/>
      <c r="H7" s="313"/>
    </row>
    <row r="8" spans="1:8" ht="12.75" customHeight="1" x14ac:dyDescent="0.2">
      <c r="A8" s="938" t="s">
        <v>395</v>
      </c>
      <c r="B8" s="939"/>
      <c r="C8" s="935" t="str">
        <f>RCM!A13</f>
        <v>FCR</v>
      </c>
      <c r="D8" s="936"/>
      <c r="E8" s="936"/>
      <c r="F8" s="936"/>
      <c r="G8" s="936"/>
      <c r="H8" s="937"/>
    </row>
    <row r="9" spans="1:8" ht="12.75" customHeight="1" x14ac:dyDescent="0.2">
      <c r="A9" s="931" t="s">
        <v>396</v>
      </c>
      <c r="B9" s="940"/>
      <c r="C9" s="935" t="str">
        <f>VLOOKUP($C$10,RCM!J:X,4,0)</f>
        <v>Senior Manager, SEC &amp; SOX</v>
      </c>
      <c r="D9" s="936"/>
      <c r="E9" s="936"/>
      <c r="F9" s="936"/>
      <c r="G9" s="936"/>
      <c r="H9" s="937"/>
    </row>
    <row r="10" spans="1:8" ht="12.75" customHeight="1" x14ac:dyDescent="0.2">
      <c r="A10" s="921" t="s">
        <v>397</v>
      </c>
      <c r="B10" s="941"/>
      <c r="C10" s="935" t="str">
        <f>RCM!J29</f>
        <v>FCR 6.11</v>
      </c>
      <c r="D10" s="936"/>
      <c r="E10" s="936"/>
      <c r="F10" s="936"/>
      <c r="G10" s="936"/>
      <c r="H10" s="937"/>
    </row>
    <row r="11" spans="1:8" ht="12.75" customHeight="1" x14ac:dyDescent="0.2">
      <c r="A11" s="921" t="s">
        <v>398</v>
      </c>
      <c r="B11" s="921"/>
      <c r="C11" s="922" t="str">
        <f>VLOOKUP($C$10,RCM!J:X,2,0)</f>
        <v>Quarterly, the Senior Manager, SEC &amp; SOX reviews and approves the tied out 10Q/10K before it is included in the relevant SEC filings.  Review includes verifying the tie-out was completed and accurate specific to all financial statements, footnotes, significant transactions, and related MD&amp;A items.  Prior version(s) of the 10Q/10K drafts, including review comments, are saved as evidence of review.</v>
      </c>
      <c r="D11" s="923"/>
      <c r="E11" s="923"/>
      <c r="F11" s="923"/>
      <c r="G11" s="923"/>
      <c r="H11" s="924"/>
    </row>
    <row r="12" spans="1:8" ht="12.75" customHeight="1" x14ac:dyDescent="0.2">
      <c r="A12" s="921"/>
      <c r="B12" s="921"/>
      <c r="C12" s="925"/>
      <c r="D12" s="926"/>
      <c r="E12" s="926"/>
      <c r="F12" s="926"/>
      <c r="G12" s="926"/>
      <c r="H12" s="927"/>
    </row>
    <row r="13" spans="1:8" ht="12.75" customHeight="1" x14ac:dyDescent="0.2">
      <c r="A13" s="921"/>
      <c r="B13" s="921"/>
      <c r="C13" s="928" t="e">
        <v>#N/A</v>
      </c>
      <c r="D13" s="929"/>
      <c r="E13" s="929"/>
      <c r="F13" s="929"/>
      <c r="G13" s="929"/>
      <c r="H13" s="930"/>
    </row>
    <row r="14" spans="1:8" ht="12.75" customHeight="1" x14ac:dyDescent="0.2">
      <c r="A14" s="314"/>
      <c r="B14" s="315"/>
      <c r="C14" s="316"/>
      <c r="D14" s="316"/>
      <c r="E14" s="316"/>
      <c r="F14" s="316"/>
      <c r="G14" s="316"/>
      <c r="H14" s="313"/>
    </row>
    <row r="15" spans="1:8" ht="12.75" customHeight="1" x14ac:dyDescent="0.2">
      <c r="A15" s="931" t="s">
        <v>399</v>
      </c>
      <c r="B15" s="931"/>
      <c r="C15" s="922" t="str">
        <f>VLOOKUP($C$10,RCM!J:X,12,0)</f>
        <v>1. Obtain the tied-out financial statements and footnote disclosures from Tie-Out Binder 
2. Review the financial statements and footnote disclosures to verify that evidence exists via tick marks and references to support that all financial information has been tied out and referenced to supporting documentation. 
3. Select some F/S account, footnote disclosure and ensure each ties back to the supporting documentation.
4. Verify evidence of review and approval via signoff by the Senior Manager, SEC &amp; SOX.</v>
      </c>
      <c r="D15" s="923"/>
      <c r="E15" s="923"/>
      <c r="F15" s="923"/>
      <c r="G15" s="923"/>
      <c r="H15" s="924"/>
    </row>
    <row r="16" spans="1:8" ht="12.75" customHeight="1" x14ac:dyDescent="0.2">
      <c r="A16" s="931"/>
      <c r="B16" s="931"/>
      <c r="C16" s="925"/>
      <c r="D16" s="1033"/>
      <c r="E16" s="1033"/>
      <c r="F16" s="1033"/>
      <c r="G16" s="1033"/>
      <c r="H16" s="927"/>
    </row>
    <row r="17" spans="1:8" ht="12.75" customHeight="1" x14ac:dyDescent="0.2">
      <c r="A17" s="931"/>
      <c r="B17" s="931"/>
      <c r="C17" s="925"/>
      <c r="D17" s="926"/>
      <c r="E17" s="926"/>
      <c r="F17" s="926"/>
      <c r="G17" s="926"/>
      <c r="H17" s="927"/>
    </row>
    <row r="18" spans="1:8" ht="12.75" customHeight="1" x14ac:dyDescent="0.2">
      <c r="A18" s="931"/>
      <c r="B18" s="931"/>
      <c r="C18" s="925"/>
      <c r="D18" s="926"/>
      <c r="E18" s="926"/>
      <c r="F18" s="926"/>
      <c r="G18" s="926"/>
      <c r="H18" s="927"/>
    </row>
    <row r="19" spans="1:8" ht="12.75" customHeight="1" x14ac:dyDescent="0.2">
      <c r="A19" s="931"/>
      <c r="B19" s="931"/>
      <c r="C19" s="925"/>
      <c r="D19" s="926"/>
      <c r="E19" s="926"/>
      <c r="F19" s="926"/>
      <c r="G19" s="926"/>
      <c r="H19" s="927"/>
    </row>
    <row r="20" spans="1:8" ht="12.75" customHeight="1" x14ac:dyDescent="0.2">
      <c r="A20" s="931"/>
      <c r="B20" s="931"/>
      <c r="C20" s="928" t="e">
        <v>#N/A</v>
      </c>
      <c r="D20" s="929"/>
      <c r="E20" s="929"/>
      <c r="F20" s="929"/>
      <c r="G20" s="929"/>
      <c r="H20" s="930"/>
    </row>
    <row r="21" spans="1:8" ht="12.75" customHeight="1" x14ac:dyDescent="0.2">
      <c r="A21" s="931" t="s">
        <v>400</v>
      </c>
      <c r="B21" s="931"/>
      <c r="C21" s="935" t="str">
        <f>VLOOKUP($C$10,RCM!J:X,8,0)</f>
        <v>Inspection</v>
      </c>
      <c r="D21" s="936"/>
      <c r="E21" s="936"/>
      <c r="F21" s="936"/>
      <c r="G21" s="936"/>
      <c r="H21" s="937"/>
    </row>
    <row r="22" spans="1:8" ht="12.75" customHeight="1" x14ac:dyDescent="0.2">
      <c r="A22" s="931" t="s">
        <v>401</v>
      </c>
      <c r="B22" s="940"/>
      <c r="C22" s="993" t="str">
        <f>VLOOKUP($C$10,RCM!J:X,6,0)</f>
        <v>Key</v>
      </c>
      <c r="D22" s="994"/>
      <c r="E22" s="994"/>
      <c r="F22" s="994"/>
      <c r="G22" s="994"/>
      <c r="H22" s="995"/>
    </row>
    <row r="23" spans="1:8" ht="12.75" customHeight="1" x14ac:dyDescent="0.2">
      <c r="A23" s="931" t="s">
        <v>402</v>
      </c>
      <c r="B23" s="940"/>
      <c r="C23" s="993">
        <f>VLOOKUP($C$10,RCM!J:X,3,0)</f>
        <v>42186</v>
      </c>
      <c r="D23" s="994"/>
      <c r="E23" s="994"/>
      <c r="F23" s="994"/>
      <c r="G23" s="994"/>
      <c r="H23" s="995"/>
    </row>
    <row r="24" spans="1:8" s="275" customFormat="1" ht="12.75" customHeight="1" x14ac:dyDescent="0.2">
      <c r="A24" s="931" t="s">
        <v>403</v>
      </c>
      <c r="B24" s="940"/>
      <c r="C24" s="935" t="str">
        <f>VLOOKUP($C$10,RCM!J:X,10,0)</f>
        <v xml:space="preserve">Medium </v>
      </c>
      <c r="D24" s="936"/>
      <c r="E24" s="936"/>
      <c r="F24" s="936"/>
      <c r="G24" s="936"/>
      <c r="H24" s="937"/>
    </row>
    <row r="25" spans="1:8" ht="12.75" customHeight="1" x14ac:dyDescent="0.2">
      <c r="A25" s="931" t="s">
        <v>404</v>
      </c>
      <c r="B25" s="940"/>
      <c r="C25" s="477" t="str">
        <f>RCM!$AB$3</f>
        <v>1/1/19 - 6/30/19</v>
      </c>
      <c r="D25" s="478"/>
      <c r="E25" s="478"/>
      <c r="F25" s="478"/>
      <c r="G25" s="478"/>
      <c r="H25" s="479"/>
    </row>
    <row r="26" spans="1:8" ht="12.75" customHeight="1" x14ac:dyDescent="0.2">
      <c r="A26" s="931" t="s">
        <v>405</v>
      </c>
      <c r="B26" s="940"/>
      <c r="C26" s="706">
        <f>VLOOKUP(C$10,RCM!$J$9:$AG$29,20,0)</f>
        <v>4</v>
      </c>
      <c r="D26" s="707"/>
      <c r="E26" s="707"/>
      <c r="F26" s="707"/>
      <c r="G26" s="707"/>
      <c r="H26" s="708"/>
    </row>
    <row r="27" spans="1:8" ht="12.75" customHeight="1" x14ac:dyDescent="0.2">
      <c r="A27" s="931" t="s">
        <v>406</v>
      </c>
      <c r="B27" s="940"/>
      <c r="C27" s="483" t="str">
        <f>RCM!$AB$5&amp;" "&amp;VLOOKUP(C$10,RCM!$J$9:$AG$29,21,0)&amp;" "&amp;RCM!$AB$6</f>
        <v>Annual sample size: 2 (See sample size derivation below)</v>
      </c>
      <c r="D27" s="484"/>
      <c r="E27" s="484"/>
      <c r="F27" s="484"/>
      <c r="G27" s="484"/>
      <c r="H27" s="485"/>
    </row>
    <row r="28" spans="1:8" ht="12.75" customHeight="1" x14ac:dyDescent="0.2">
      <c r="A28" s="942" t="s">
        <v>407</v>
      </c>
      <c r="B28" s="943"/>
      <c r="C28" s="787" t="s">
        <v>552</v>
      </c>
      <c r="D28" s="788"/>
      <c r="E28" s="788"/>
      <c r="F28" s="788"/>
      <c r="G28" s="788"/>
      <c r="H28" s="789"/>
    </row>
    <row r="29" spans="1:8" s="275" customFormat="1" ht="12.75" customHeight="1" x14ac:dyDescent="0.2">
      <c r="A29" s="944"/>
      <c r="B29" s="945"/>
      <c r="C29" s="790"/>
      <c r="D29" s="791"/>
      <c r="E29" s="791"/>
      <c r="F29" s="791"/>
      <c r="G29" s="791"/>
      <c r="H29" s="792"/>
    </row>
    <row r="30" spans="1:8" ht="12.75" customHeight="1" x14ac:dyDescent="0.2">
      <c r="A30" s="317"/>
      <c r="B30" s="317"/>
      <c r="C30" s="318"/>
      <c r="D30" s="318"/>
      <c r="E30" s="318"/>
      <c r="F30" s="318"/>
      <c r="G30" s="318"/>
      <c r="H30" s="318"/>
    </row>
    <row r="31" spans="1:8" ht="12.75" customHeight="1" x14ac:dyDescent="0.2">
      <c r="A31" s="279"/>
      <c r="B31" s="279"/>
      <c r="C31" s="504" t="s">
        <v>409</v>
      </c>
      <c r="D31" s="505"/>
      <c r="E31" s="506" t="s">
        <v>410</v>
      </c>
      <c r="F31" s="507"/>
      <c r="G31" s="506" t="s">
        <v>411</v>
      </c>
      <c r="H31" s="507"/>
    </row>
    <row r="32" spans="1:8" ht="12.75" customHeight="1" x14ac:dyDescent="0.2">
      <c r="A32" s="508" t="s">
        <v>412</v>
      </c>
      <c r="B32" s="509"/>
      <c r="C32" s="898">
        <f>VLOOKUP($C$10,RCM!$J$9:$AG$29,22,0)</f>
        <v>1</v>
      </c>
      <c r="D32" s="511"/>
      <c r="E32" s="899">
        <f>VLOOKUP($C$10,RCM!$J$9:$AG$29,23,0)</f>
        <v>0</v>
      </c>
      <c r="F32" s="899"/>
      <c r="G32" s="899">
        <f>VLOOKUP($C$10,RCM!$J$9:$AG$29,24,0)</f>
        <v>1</v>
      </c>
      <c r="H32" s="899"/>
    </row>
    <row r="33" spans="1:8" ht="12.75" customHeight="1" outlineLevel="1" x14ac:dyDescent="0.2">
      <c r="A33" s="523" t="s">
        <v>413</v>
      </c>
      <c r="B33" s="524"/>
      <c r="C33" s="1002" t="s">
        <v>694</v>
      </c>
      <c r="D33" s="1003"/>
      <c r="E33" s="1002"/>
      <c r="F33" s="1003"/>
      <c r="G33" s="1002"/>
      <c r="H33" s="1003"/>
    </row>
    <row r="34" spans="1:8" ht="12.75" customHeight="1" outlineLevel="1" x14ac:dyDescent="0.2">
      <c r="A34" s="525"/>
      <c r="B34" s="526"/>
      <c r="C34" s="1004"/>
      <c r="D34" s="1005"/>
      <c r="E34" s="1004"/>
      <c r="F34" s="1005"/>
      <c r="G34" s="1004"/>
      <c r="H34" s="1005"/>
    </row>
    <row r="35" spans="1:8" ht="12.75" customHeight="1" outlineLevel="1" x14ac:dyDescent="0.2">
      <c r="A35" s="525"/>
      <c r="B35" s="526"/>
      <c r="C35" s="1004"/>
      <c r="D35" s="1005"/>
      <c r="E35" s="1004"/>
      <c r="F35" s="1005"/>
      <c r="G35" s="1004"/>
      <c r="H35" s="1005"/>
    </row>
    <row r="36" spans="1:8" ht="12.75" customHeight="1" outlineLevel="1" x14ac:dyDescent="0.2">
      <c r="A36" s="525"/>
      <c r="B36" s="526"/>
      <c r="C36" s="1004"/>
      <c r="D36" s="1005"/>
      <c r="E36" s="1004"/>
      <c r="F36" s="1005"/>
      <c r="G36" s="1004"/>
      <c r="H36" s="1005"/>
    </row>
    <row r="37" spans="1:8" ht="12.75" customHeight="1" outlineLevel="1" x14ac:dyDescent="0.2">
      <c r="A37" s="525"/>
      <c r="B37" s="526"/>
      <c r="C37" s="1004"/>
      <c r="D37" s="1005"/>
      <c r="E37" s="1004"/>
      <c r="F37" s="1005"/>
      <c r="G37" s="1004"/>
      <c r="H37" s="1005"/>
    </row>
    <row r="38" spans="1:8" ht="12.75" customHeight="1" outlineLevel="1" x14ac:dyDescent="0.2">
      <c r="A38" s="525"/>
      <c r="B38" s="526"/>
      <c r="C38" s="1004"/>
      <c r="D38" s="1005"/>
      <c r="E38" s="1004"/>
      <c r="F38" s="1005"/>
      <c r="G38" s="1004"/>
      <c r="H38" s="1005"/>
    </row>
    <row r="39" spans="1:8" ht="12.75" customHeight="1" outlineLevel="1" x14ac:dyDescent="0.2">
      <c r="A39" s="525"/>
      <c r="B39" s="526"/>
      <c r="C39" s="1004"/>
      <c r="D39" s="1005"/>
      <c r="E39" s="1004"/>
      <c r="F39" s="1005"/>
      <c r="G39" s="1004"/>
      <c r="H39" s="1005"/>
    </row>
    <row r="40" spans="1:8" ht="12.75" customHeight="1" outlineLevel="1" x14ac:dyDescent="0.2">
      <c r="A40" s="525"/>
      <c r="B40" s="526"/>
      <c r="C40" s="1004"/>
      <c r="D40" s="1005"/>
      <c r="E40" s="1004"/>
      <c r="F40" s="1005"/>
      <c r="G40" s="1004"/>
      <c r="H40" s="1005"/>
    </row>
    <row r="41" spans="1:8" ht="12.75" customHeight="1" outlineLevel="1" x14ac:dyDescent="0.2">
      <c r="A41" s="525"/>
      <c r="B41" s="526"/>
      <c r="C41" s="1004"/>
      <c r="D41" s="1005"/>
      <c r="E41" s="1004"/>
      <c r="F41" s="1005"/>
      <c r="G41" s="1004"/>
      <c r="H41" s="1005"/>
    </row>
    <row r="42" spans="1:8" ht="12.75" customHeight="1" outlineLevel="1" x14ac:dyDescent="0.2">
      <c r="A42" s="527"/>
      <c r="B42" s="528"/>
      <c r="C42" s="1006"/>
      <c r="D42" s="1007"/>
      <c r="E42" s="1006"/>
      <c r="F42" s="1007"/>
      <c r="G42" s="1006"/>
      <c r="H42" s="1007"/>
    </row>
    <row r="43" spans="1:8" ht="12.75" customHeight="1" x14ac:dyDescent="0.2">
      <c r="A43" s="512" t="s">
        <v>415</v>
      </c>
      <c r="B43" s="513"/>
      <c r="C43" s="957" t="s">
        <v>416</v>
      </c>
      <c r="D43" s="958"/>
      <c r="E43" s="540"/>
      <c r="F43" s="541"/>
      <c r="G43" s="540"/>
      <c r="H43" s="541"/>
    </row>
    <row r="44" spans="1:8" ht="12.75" customHeight="1" x14ac:dyDescent="0.2">
      <c r="A44" s="512" t="s">
        <v>417</v>
      </c>
      <c r="B44" s="513"/>
      <c r="C44" s="946">
        <v>43642</v>
      </c>
      <c r="D44" s="947"/>
      <c r="E44" s="728"/>
      <c r="F44" s="729"/>
      <c r="G44" s="1021"/>
      <c r="H44" s="1022"/>
    </row>
    <row r="45" spans="1:8" ht="12.75" customHeight="1" x14ac:dyDescent="0.2">
      <c r="A45" s="795" t="s">
        <v>418</v>
      </c>
      <c r="B45" s="795"/>
      <c r="C45" s="515" t="str">
        <f>VLOOKUP(C$10,'WT (WT)'!$A$8:$K$24,11,0)</f>
        <v>Effective</v>
      </c>
      <c r="D45" s="516"/>
      <c r="E45" s="515"/>
      <c r="F45" s="516"/>
      <c r="G45" s="519"/>
      <c r="H45" s="520"/>
    </row>
    <row r="46" spans="1:8" ht="12.75" customHeight="1" x14ac:dyDescent="0.2">
      <c r="A46" s="795"/>
      <c r="B46" s="795"/>
      <c r="C46" s="517"/>
      <c r="D46" s="518"/>
      <c r="E46" s="517"/>
      <c r="F46" s="518"/>
      <c r="G46" s="521"/>
      <c r="H46" s="522"/>
    </row>
    <row r="47" spans="1:8" ht="12.75" customHeight="1" x14ac:dyDescent="0.2">
      <c r="A47" s="795" t="s">
        <v>419</v>
      </c>
      <c r="B47" s="795"/>
      <c r="C47" s="519" t="s">
        <v>330</v>
      </c>
      <c r="D47" s="520"/>
      <c r="E47" s="519"/>
      <c r="F47" s="520"/>
      <c r="G47" s="519"/>
      <c r="H47" s="520"/>
    </row>
    <row r="48" spans="1:8" ht="12.75" customHeight="1" x14ac:dyDescent="0.2">
      <c r="A48" s="795"/>
      <c r="B48" s="795"/>
      <c r="C48" s="542"/>
      <c r="D48" s="543"/>
      <c r="E48" s="542"/>
      <c r="F48" s="543"/>
      <c r="G48" s="542"/>
      <c r="H48" s="543"/>
    </row>
    <row r="49" spans="1:8" ht="12.75" customHeight="1" x14ac:dyDescent="0.2">
      <c r="A49" s="795"/>
      <c r="B49" s="795"/>
      <c r="C49" s="521"/>
      <c r="D49" s="522"/>
      <c r="E49" s="521"/>
      <c r="F49" s="522"/>
      <c r="G49" s="521"/>
      <c r="H49" s="522"/>
    </row>
    <row r="50" spans="1:8" ht="12.75" customHeight="1" x14ac:dyDescent="0.2">
      <c r="A50" s="319"/>
      <c r="B50" s="319"/>
      <c r="C50" s="313"/>
      <c r="D50" s="313"/>
      <c r="E50" s="313"/>
      <c r="F50" s="313"/>
      <c r="G50" s="320"/>
      <c r="H50" s="313"/>
    </row>
    <row r="51" spans="1:8" ht="12.75" customHeight="1" x14ac:dyDescent="0.2">
      <c r="A51" s="544" t="s">
        <v>420</v>
      </c>
      <c r="B51" s="1023" t="s">
        <v>232</v>
      </c>
      <c r="C51" s="1023" t="s">
        <v>695</v>
      </c>
      <c r="D51" s="1023" t="s">
        <v>696</v>
      </c>
      <c r="E51" s="1023" t="s">
        <v>697</v>
      </c>
      <c r="F51" s="544" t="s">
        <v>698</v>
      </c>
      <c r="G51" s="730" t="s">
        <v>699</v>
      </c>
      <c r="H51" s="544" t="s">
        <v>427</v>
      </c>
    </row>
    <row r="52" spans="1:8" ht="12.75" customHeight="1" x14ac:dyDescent="0.2">
      <c r="A52" s="544"/>
      <c r="B52" s="1024"/>
      <c r="C52" s="1024"/>
      <c r="D52" s="1024"/>
      <c r="E52" s="1024"/>
      <c r="F52" s="544"/>
      <c r="G52" s="731"/>
      <c r="H52" s="544"/>
    </row>
    <row r="53" spans="1:8" ht="12.75" customHeight="1" x14ac:dyDescent="0.2">
      <c r="A53" s="544"/>
      <c r="B53" s="1025"/>
      <c r="C53" s="1025"/>
      <c r="D53" s="1025"/>
      <c r="E53" s="1025"/>
      <c r="F53" s="544"/>
      <c r="G53" s="732"/>
      <c r="H53" s="544"/>
    </row>
    <row r="54" spans="1:8" ht="12.75" customHeight="1" x14ac:dyDescent="0.2">
      <c r="A54" s="968" t="s">
        <v>428</v>
      </c>
      <c r="B54" s="969"/>
      <c r="C54" s="970"/>
      <c r="D54" s="970"/>
      <c r="E54" s="970"/>
      <c r="F54" s="970"/>
      <c r="G54" s="970"/>
      <c r="H54" s="971"/>
    </row>
    <row r="55" spans="1:8" s="287" customFormat="1" ht="12.75" customHeight="1" outlineLevel="1" x14ac:dyDescent="0.2">
      <c r="A55" s="960">
        <v>1</v>
      </c>
      <c r="B55" s="960" t="s">
        <v>663</v>
      </c>
      <c r="C55" s="1034" t="s">
        <v>279</v>
      </c>
      <c r="D55" s="960" t="s">
        <v>279</v>
      </c>
      <c r="E55" s="960" t="s">
        <v>279</v>
      </c>
      <c r="F55" s="962" t="s">
        <v>700</v>
      </c>
      <c r="G55" s="1032"/>
      <c r="H55" s="967" t="s">
        <v>432</v>
      </c>
    </row>
    <row r="56" spans="1:8" s="287" customFormat="1" ht="12.75" customHeight="1" outlineLevel="1" x14ac:dyDescent="0.2">
      <c r="A56" s="960"/>
      <c r="B56" s="960"/>
      <c r="C56" s="964"/>
      <c r="D56" s="960"/>
      <c r="E56" s="960"/>
      <c r="F56" s="963"/>
      <c r="G56" s="960"/>
      <c r="H56" s="967"/>
    </row>
    <row r="57" spans="1:8" s="287" customFormat="1" ht="12.75" customHeight="1" outlineLevel="1" x14ac:dyDescent="0.2">
      <c r="A57" s="960"/>
      <c r="B57" s="960"/>
      <c r="C57" s="965"/>
      <c r="D57" s="960"/>
      <c r="E57" s="960"/>
      <c r="F57" s="966"/>
      <c r="G57" s="960"/>
      <c r="H57" s="967"/>
    </row>
    <row r="58" spans="1:8" ht="12.75" customHeight="1" x14ac:dyDescent="0.2">
      <c r="A58" s="968" t="s">
        <v>436</v>
      </c>
      <c r="B58" s="969"/>
      <c r="C58" s="970"/>
      <c r="D58" s="970"/>
      <c r="E58" s="970"/>
      <c r="F58" s="970"/>
      <c r="G58" s="970"/>
      <c r="H58" s="971"/>
    </row>
    <row r="59" spans="1:8" ht="12.75" customHeight="1" outlineLevel="1" x14ac:dyDescent="0.2">
      <c r="A59" s="972"/>
      <c r="B59" s="960"/>
      <c r="C59" s="1035"/>
      <c r="D59" s="1038"/>
      <c r="E59" s="973"/>
      <c r="F59" s="973"/>
      <c r="G59" s="1032"/>
      <c r="H59" s="960"/>
    </row>
    <row r="60" spans="1:8" ht="12.75" customHeight="1" outlineLevel="1" x14ac:dyDescent="0.2">
      <c r="A60" s="972"/>
      <c r="B60" s="960"/>
      <c r="C60" s="1036"/>
      <c r="D60" s="1038"/>
      <c r="E60" s="960"/>
      <c r="F60" s="973"/>
      <c r="G60" s="960"/>
      <c r="H60" s="960"/>
    </row>
    <row r="61" spans="1:8" ht="12.75" customHeight="1" outlineLevel="1" x14ac:dyDescent="0.2">
      <c r="A61" s="972"/>
      <c r="B61" s="960"/>
      <c r="C61" s="1037"/>
      <c r="D61" s="1038"/>
      <c r="E61" s="960"/>
      <c r="F61" s="973"/>
      <c r="G61" s="960"/>
      <c r="H61" s="960"/>
    </row>
    <row r="62" spans="1:8" ht="12.75" customHeight="1" x14ac:dyDescent="0.2">
      <c r="A62" s="976" t="s">
        <v>437</v>
      </c>
      <c r="B62" s="970"/>
      <c r="C62" s="970"/>
      <c r="D62" s="970"/>
      <c r="E62" s="970"/>
      <c r="F62" s="970"/>
      <c r="G62" s="970"/>
      <c r="H62" s="971"/>
    </row>
    <row r="63" spans="1:8" ht="12.75" customHeight="1" outlineLevel="1" x14ac:dyDescent="0.2">
      <c r="A63" s="972"/>
      <c r="B63" s="960"/>
      <c r="C63" s="1035"/>
      <c r="D63" s="1038"/>
      <c r="E63" s="973"/>
      <c r="F63" s="973"/>
      <c r="G63" s="1032"/>
      <c r="H63" s="960"/>
    </row>
    <row r="64" spans="1:8" ht="12.75" customHeight="1" outlineLevel="1" x14ac:dyDescent="0.2">
      <c r="A64" s="972"/>
      <c r="B64" s="960"/>
      <c r="C64" s="1036"/>
      <c r="D64" s="1038"/>
      <c r="E64" s="960"/>
      <c r="F64" s="973"/>
      <c r="G64" s="960"/>
      <c r="H64" s="960"/>
    </row>
    <row r="65" spans="1:8" ht="12.75" customHeight="1" outlineLevel="1" x14ac:dyDescent="0.2">
      <c r="A65" s="972"/>
      <c r="B65" s="960"/>
      <c r="C65" s="1037"/>
      <c r="D65" s="1038"/>
      <c r="E65" s="960"/>
      <c r="F65" s="973"/>
      <c r="G65" s="960"/>
      <c r="H65" s="960"/>
    </row>
    <row r="66" spans="1:8" ht="12.75" customHeight="1" x14ac:dyDescent="0.2">
      <c r="A66" s="312"/>
      <c r="B66" s="312"/>
      <c r="C66" s="1010"/>
      <c r="D66" s="975"/>
      <c r="E66" s="312"/>
      <c r="F66" s="312"/>
      <c r="G66" s="312"/>
    </row>
    <row r="67" spans="1:8" ht="12.75" customHeight="1" x14ac:dyDescent="0.2">
      <c r="A67" s="282"/>
      <c r="B67" s="282"/>
      <c r="C67" s="504" t="s">
        <v>428</v>
      </c>
      <c r="D67" s="504"/>
      <c r="E67" s="504" t="s">
        <v>410</v>
      </c>
      <c r="F67" s="504"/>
      <c r="G67" s="505" t="s">
        <v>437</v>
      </c>
      <c r="H67" s="505"/>
    </row>
    <row r="68" spans="1:8" ht="12.75" customHeight="1" x14ac:dyDescent="0.2">
      <c r="A68" s="512" t="s">
        <v>438</v>
      </c>
      <c r="B68" s="556"/>
      <c r="C68" s="748" t="s">
        <v>439</v>
      </c>
      <c r="D68" s="749"/>
      <c r="E68" s="540"/>
      <c r="F68" s="541"/>
      <c r="G68" s="557"/>
      <c r="H68" s="558"/>
    </row>
    <row r="69" spans="1:8" ht="12.75" customHeight="1" x14ac:dyDescent="0.2">
      <c r="A69" s="512" t="s">
        <v>440</v>
      </c>
      <c r="B69" s="556"/>
      <c r="C69" s="748">
        <v>43665</v>
      </c>
      <c r="D69" s="749"/>
      <c r="E69" s="540"/>
      <c r="F69" s="541"/>
      <c r="G69" s="514"/>
      <c r="H69" s="581"/>
    </row>
    <row r="70" spans="1:8" ht="12.75" customHeight="1" x14ac:dyDescent="0.2">
      <c r="A70" s="512" t="s">
        <v>441</v>
      </c>
      <c r="B70" s="556"/>
      <c r="C70" s="582" t="s">
        <v>330</v>
      </c>
      <c r="D70" s="583"/>
      <c r="E70" s="557" t="s">
        <v>392</v>
      </c>
      <c r="F70" s="558"/>
      <c r="G70" s="557" t="s">
        <v>392</v>
      </c>
      <c r="H70" s="558"/>
    </row>
    <row r="71" spans="1:8" ht="12.75" customHeight="1" x14ac:dyDescent="0.2">
      <c r="A71" s="312"/>
      <c r="B71" s="312"/>
      <c r="C71" s="312"/>
      <c r="D71" s="312"/>
      <c r="E71" s="312"/>
      <c r="F71" s="312"/>
      <c r="G71" s="312"/>
      <c r="H71" s="312"/>
    </row>
    <row r="72" spans="1:8" ht="12.75" customHeight="1" x14ac:dyDescent="0.2">
      <c r="A72" s="1039" t="s">
        <v>442</v>
      </c>
      <c r="B72" s="1040"/>
      <c r="C72" s="312"/>
      <c r="D72" s="312"/>
      <c r="E72" s="312"/>
      <c r="F72" s="312"/>
      <c r="G72" s="312"/>
      <c r="H72" s="312"/>
    </row>
    <row r="73" spans="1:8" ht="12.75" customHeight="1" x14ac:dyDescent="0.2">
      <c r="A73" s="979" t="s">
        <v>279</v>
      </c>
      <c r="B73" s="1041"/>
      <c r="C73" s="984" t="s">
        <v>443</v>
      </c>
      <c r="D73" s="984"/>
      <c r="E73" s="984"/>
      <c r="F73" s="984"/>
      <c r="G73" s="984"/>
      <c r="H73" s="985"/>
    </row>
    <row r="74" spans="1:8" ht="12.75" customHeight="1" x14ac:dyDescent="0.2">
      <c r="A74" s="981"/>
      <c r="B74" s="1042"/>
      <c r="C74" s="987"/>
      <c r="D74" s="987"/>
      <c r="E74" s="987"/>
      <c r="F74" s="987"/>
      <c r="G74" s="987"/>
      <c r="H74" s="988"/>
    </row>
    <row r="75" spans="1:8" ht="12.75" customHeight="1" x14ac:dyDescent="0.2">
      <c r="A75" s="989" t="s">
        <v>432</v>
      </c>
      <c r="B75" s="1043"/>
      <c r="C75" s="984" t="s">
        <v>444</v>
      </c>
      <c r="D75" s="984"/>
      <c r="E75" s="984"/>
      <c r="F75" s="984"/>
      <c r="G75" s="984"/>
      <c r="H75" s="985"/>
    </row>
    <row r="76" spans="1:8" ht="12.75" customHeight="1" x14ac:dyDescent="0.2">
      <c r="A76" s="991"/>
      <c r="B76" s="1044"/>
      <c r="C76" s="987"/>
      <c r="D76" s="987"/>
      <c r="E76" s="987"/>
      <c r="F76" s="987"/>
      <c r="G76" s="987"/>
      <c r="H76" s="988"/>
    </row>
    <row r="78" spans="1:8" ht="12.75" customHeight="1" x14ac:dyDescent="0.2">
      <c r="A78" s="843" t="s">
        <v>370</v>
      </c>
      <c r="B78" s="843"/>
      <c r="C78" s="843"/>
      <c r="D78" s="843"/>
      <c r="E78" s="843"/>
      <c r="F78" s="843"/>
      <c r="G78" s="843"/>
      <c r="H78" s="843"/>
    </row>
    <row r="79" spans="1:8" ht="12.75" customHeight="1" x14ac:dyDescent="0.2">
      <c r="A79" s="283" t="s">
        <v>449</v>
      </c>
      <c r="B79" s="283" t="s">
        <v>450</v>
      </c>
      <c r="C79" s="283" t="s">
        <v>451</v>
      </c>
      <c r="D79" s="843" t="s">
        <v>452</v>
      </c>
      <c r="E79" s="843"/>
      <c r="F79" s="843"/>
      <c r="G79" s="843"/>
      <c r="H79" s="843"/>
    </row>
    <row r="80" spans="1:8" ht="12.75" customHeight="1" x14ac:dyDescent="0.2">
      <c r="A80" s="908" t="s">
        <v>83</v>
      </c>
      <c r="B80" s="908" t="s">
        <v>454</v>
      </c>
      <c r="C80" s="913"/>
      <c r="D80" s="894" t="s">
        <v>456</v>
      </c>
      <c r="E80" s="895" t="s">
        <v>457</v>
      </c>
      <c r="F80" s="895"/>
      <c r="G80" s="801" t="s">
        <v>712</v>
      </c>
      <c r="H80" s="801"/>
    </row>
    <row r="81" spans="1:8" ht="12.75" customHeight="1" x14ac:dyDescent="0.2">
      <c r="A81" s="908"/>
      <c r="B81" s="908"/>
      <c r="C81" s="913"/>
      <c r="D81" s="894"/>
      <c r="E81" s="895"/>
      <c r="F81" s="895"/>
      <c r="G81" s="801"/>
      <c r="H81" s="801"/>
    </row>
    <row r="82" spans="1:8" ht="12.75" customHeight="1" x14ac:dyDescent="0.2">
      <c r="A82" s="908"/>
      <c r="B82" s="908"/>
      <c r="C82" s="913"/>
      <c r="D82" s="894"/>
      <c r="E82" s="895"/>
      <c r="F82" s="895"/>
      <c r="G82" s="801"/>
      <c r="H82" s="801"/>
    </row>
    <row r="83" spans="1:8" ht="12.75" customHeight="1" x14ac:dyDescent="0.2">
      <c r="A83" s="908"/>
      <c r="B83" s="908"/>
      <c r="C83" s="913"/>
      <c r="D83" s="894"/>
      <c r="E83" s="895"/>
      <c r="F83" s="895"/>
      <c r="G83" s="801"/>
      <c r="H83" s="801"/>
    </row>
    <row r="84" spans="1:8" ht="12.75" customHeight="1" x14ac:dyDescent="0.2">
      <c r="A84" s="908"/>
      <c r="B84" s="908"/>
      <c r="C84" s="913"/>
      <c r="D84" s="894"/>
      <c r="E84" s="895"/>
      <c r="F84" s="895"/>
      <c r="G84" s="801"/>
      <c r="H84" s="801"/>
    </row>
    <row r="85" spans="1:8" ht="12.75" customHeight="1" x14ac:dyDescent="0.2">
      <c r="A85" s="908"/>
      <c r="B85" s="908"/>
      <c r="C85" s="913"/>
      <c r="D85" s="894" t="s">
        <v>458</v>
      </c>
      <c r="E85" s="895" t="s">
        <v>459</v>
      </c>
      <c r="F85" s="895"/>
      <c r="G85" s="801" t="s">
        <v>712</v>
      </c>
      <c r="H85" s="801"/>
    </row>
    <row r="86" spans="1:8" ht="12.75" customHeight="1" x14ac:dyDescent="0.2">
      <c r="A86" s="908"/>
      <c r="B86" s="908"/>
      <c r="C86" s="913"/>
      <c r="D86" s="894"/>
      <c r="E86" s="895"/>
      <c r="F86" s="895"/>
      <c r="G86" s="801"/>
      <c r="H86" s="801"/>
    </row>
    <row r="87" spans="1:8" ht="12.75" customHeight="1" x14ac:dyDescent="0.2">
      <c r="A87" s="908"/>
      <c r="B87" s="908"/>
      <c r="C87" s="913"/>
      <c r="D87" s="894"/>
      <c r="E87" s="895"/>
      <c r="F87" s="895"/>
      <c r="G87" s="801"/>
      <c r="H87" s="801"/>
    </row>
    <row r="88" spans="1:8" ht="12.75" customHeight="1" x14ac:dyDescent="0.2">
      <c r="A88" s="908"/>
      <c r="B88" s="908"/>
      <c r="C88" s="913"/>
      <c r="D88" s="894"/>
      <c r="E88" s="895"/>
      <c r="F88" s="895"/>
      <c r="G88" s="801"/>
      <c r="H88" s="801"/>
    </row>
    <row r="89" spans="1:8" ht="12.75" customHeight="1" x14ac:dyDescent="0.2">
      <c r="A89" s="908"/>
      <c r="B89" s="908"/>
      <c r="C89" s="913"/>
      <c r="D89" s="894"/>
      <c r="E89" s="895"/>
      <c r="F89" s="895"/>
      <c r="G89" s="801"/>
      <c r="H89" s="801"/>
    </row>
    <row r="90" spans="1:8" ht="12.75" customHeight="1" x14ac:dyDescent="0.2">
      <c r="A90" s="908"/>
      <c r="B90" s="908"/>
      <c r="C90" s="913"/>
      <c r="D90" s="894" t="s">
        <v>460</v>
      </c>
      <c r="E90" s="895" t="s">
        <v>461</v>
      </c>
      <c r="F90" s="895"/>
      <c r="G90" s="801" t="s">
        <v>712</v>
      </c>
      <c r="H90" s="801"/>
    </row>
    <row r="91" spans="1:8" ht="12.75" customHeight="1" x14ac:dyDescent="0.2">
      <c r="A91" s="908"/>
      <c r="B91" s="908"/>
      <c r="C91" s="913"/>
      <c r="D91" s="894"/>
      <c r="E91" s="895"/>
      <c r="F91" s="895"/>
      <c r="G91" s="801"/>
      <c r="H91" s="801"/>
    </row>
    <row r="92" spans="1:8" ht="12.75" customHeight="1" x14ac:dyDescent="0.2">
      <c r="A92" s="908"/>
      <c r="B92" s="908"/>
      <c r="C92" s="913"/>
      <c r="D92" s="894"/>
      <c r="E92" s="895"/>
      <c r="F92" s="895"/>
      <c r="G92" s="801"/>
      <c r="H92" s="801"/>
    </row>
    <row r="93" spans="1:8" ht="12.75" customHeight="1" x14ac:dyDescent="0.2">
      <c r="A93" s="908"/>
      <c r="B93" s="908"/>
      <c r="C93" s="913"/>
      <c r="D93" s="894"/>
      <c r="E93" s="895"/>
      <c r="F93" s="895"/>
      <c r="G93" s="801"/>
      <c r="H93" s="801"/>
    </row>
    <row r="94" spans="1:8" ht="12.75" customHeight="1" x14ac:dyDescent="0.2">
      <c r="A94" s="908"/>
      <c r="B94" s="908"/>
      <c r="C94" s="913"/>
      <c r="D94" s="894"/>
      <c r="E94" s="895"/>
      <c r="F94" s="895"/>
      <c r="G94" s="801"/>
      <c r="H94" s="801"/>
    </row>
    <row r="95" spans="1:8" ht="12.75" customHeight="1" x14ac:dyDescent="0.2">
      <c r="A95" s="908"/>
      <c r="B95" s="908"/>
      <c r="C95" s="913"/>
      <c r="D95" s="894"/>
      <c r="E95" s="895" t="s">
        <v>462</v>
      </c>
      <c r="F95" s="895"/>
      <c r="G95" s="912"/>
      <c r="H95" s="912"/>
    </row>
    <row r="96" spans="1:8" ht="12.75" customHeight="1" x14ac:dyDescent="0.2">
      <c r="A96" s="908"/>
      <c r="B96" s="908"/>
      <c r="C96" s="913"/>
      <c r="D96" s="894"/>
      <c r="E96" s="895"/>
      <c r="F96" s="895"/>
      <c r="G96" s="912"/>
      <c r="H96" s="912"/>
    </row>
    <row r="97" spans="1:8" ht="12.75" customHeight="1" x14ac:dyDescent="0.2">
      <c r="A97" s="908"/>
      <c r="B97" s="908"/>
      <c r="C97" s="913"/>
      <c r="D97" s="894"/>
      <c r="E97" s="895" t="s">
        <v>463</v>
      </c>
      <c r="F97" s="895"/>
      <c r="G97" s="801" t="s">
        <v>712</v>
      </c>
      <c r="H97" s="801"/>
    </row>
    <row r="98" spans="1:8" ht="12.75" customHeight="1" x14ac:dyDescent="0.2">
      <c r="A98" s="908"/>
      <c r="B98" s="908"/>
      <c r="C98" s="913"/>
      <c r="D98" s="894"/>
      <c r="E98" s="895"/>
      <c r="F98" s="895"/>
      <c r="G98" s="801"/>
      <c r="H98" s="801"/>
    </row>
    <row r="99" spans="1:8" ht="12.75" customHeight="1" x14ac:dyDescent="0.2">
      <c r="A99" s="908"/>
      <c r="B99" s="908"/>
      <c r="C99" s="913"/>
      <c r="D99" s="894"/>
      <c r="E99" s="895"/>
      <c r="F99" s="895"/>
      <c r="G99" s="801"/>
      <c r="H99" s="801"/>
    </row>
    <row r="100" spans="1:8" ht="12.75" customHeight="1" x14ac:dyDescent="0.2">
      <c r="A100" s="908"/>
      <c r="B100" s="908"/>
      <c r="C100" s="913"/>
      <c r="D100" s="894"/>
      <c r="E100" s="895"/>
      <c r="F100" s="895"/>
      <c r="G100" s="801"/>
      <c r="H100" s="801"/>
    </row>
    <row r="101" spans="1:8" ht="12.75" customHeight="1" x14ac:dyDescent="0.2">
      <c r="A101" s="908"/>
      <c r="B101" s="908"/>
      <c r="C101" s="913"/>
      <c r="D101" s="894"/>
      <c r="E101" s="895"/>
      <c r="F101" s="895"/>
      <c r="G101" s="801"/>
      <c r="H101" s="801"/>
    </row>
    <row r="102" spans="1:8" ht="12.75" customHeight="1" x14ac:dyDescent="0.2">
      <c r="A102" s="908"/>
      <c r="B102" s="908"/>
      <c r="C102" s="913"/>
      <c r="D102" s="894"/>
      <c r="E102" s="895" t="s">
        <v>464</v>
      </c>
      <c r="F102" s="895"/>
      <c r="G102" s="912"/>
      <c r="H102" s="912"/>
    </row>
    <row r="103" spans="1:8" ht="12.75" customHeight="1" x14ac:dyDescent="0.2">
      <c r="A103" s="908"/>
      <c r="B103" s="908"/>
      <c r="C103" s="913"/>
      <c r="D103" s="894"/>
      <c r="E103" s="895"/>
      <c r="F103" s="895"/>
      <c r="G103" s="912"/>
      <c r="H103" s="912"/>
    </row>
    <row r="104" spans="1:8" ht="12.75" customHeight="1" x14ac:dyDescent="0.2">
      <c r="A104" s="908"/>
      <c r="B104" s="908"/>
      <c r="C104" s="913"/>
      <c r="D104" s="894" t="s">
        <v>465</v>
      </c>
      <c r="E104" s="895" t="s">
        <v>466</v>
      </c>
      <c r="F104" s="895"/>
      <c r="G104" s="801" t="s">
        <v>708</v>
      </c>
      <c r="H104" s="801"/>
    </row>
    <row r="105" spans="1:8" ht="12.75" customHeight="1" x14ac:dyDescent="0.2">
      <c r="A105" s="908"/>
      <c r="B105" s="908"/>
      <c r="C105" s="913"/>
      <c r="D105" s="894"/>
      <c r="E105" s="895"/>
      <c r="F105" s="895"/>
      <c r="G105" s="801"/>
      <c r="H105" s="801"/>
    </row>
    <row r="106" spans="1:8" ht="12.75" customHeight="1" x14ac:dyDescent="0.2">
      <c r="A106" s="908"/>
      <c r="B106" s="908"/>
      <c r="C106" s="913"/>
      <c r="D106" s="894"/>
      <c r="E106" s="895"/>
      <c r="F106" s="895"/>
      <c r="G106" s="801"/>
      <c r="H106" s="801"/>
    </row>
    <row r="107" spans="1:8" ht="12.75" customHeight="1" x14ac:dyDescent="0.2">
      <c r="A107" s="908"/>
      <c r="B107" s="908"/>
      <c r="C107" s="913"/>
      <c r="D107" s="894"/>
      <c r="E107" s="895"/>
      <c r="F107" s="895"/>
      <c r="G107" s="801"/>
      <c r="H107" s="801"/>
    </row>
    <row r="108" spans="1:8" ht="12.75" customHeight="1" x14ac:dyDescent="0.2">
      <c r="A108" s="908"/>
      <c r="B108" s="908"/>
      <c r="C108" s="913"/>
      <c r="D108" s="894"/>
      <c r="E108" s="895"/>
      <c r="F108" s="895"/>
      <c r="G108" s="801"/>
      <c r="H108" s="801"/>
    </row>
    <row r="109" spans="1:8" ht="12.75" customHeight="1" x14ac:dyDescent="0.2">
      <c r="A109" s="908"/>
      <c r="B109" s="908"/>
      <c r="C109" s="913"/>
      <c r="D109" s="894"/>
      <c r="E109" s="895" t="s">
        <v>467</v>
      </c>
      <c r="F109" s="895"/>
      <c r="G109" s="912"/>
      <c r="H109" s="912"/>
    </row>
    <row r="110" spans="1:8" ht="12.75" customHeight="1" x14ac:dyDescent="0.2">
      <c r="A110" s="908"/>
      <c r="B110" s="908"/>
      <c r="C110" s="913"/>
      <c r="D110" s="894"/>
      <c r="E110" s="895"/>
      <c r="F110" s="895"/>
      <c r="G110" s="912"/>
      <c r="H110" s="912"/>
    </row>
    <row r="111" spans="1:8" ht="12.75" customHeight="1" x14ac:dyDescent="0.2">
      <c r="A111" s="908" t="s">
        <v>87</v>
      </c>
      <c r="B111" s="908" t="s">
        <v>454</v>
      </c>
      <c r="C111" s="915" t="s">
        <v>713</v>
      </c>
      <c r="D111" s="894" t="s">
        <v>456</v>
      </c>
      <c r="E111" s="895" t="s">
        <v>457</v>
      </c>
      <c r="F111" s="895"/>
      <c r="G111" s="801" t="s">
        <v>725</v>
      </c>
      <c r="H111" s="801"/>
    </row>
    <row r="112" spans="1:8" ht="12.75" customHeight="1" x14ac:dyDescent="0.2">
      <c r="A112" s="908"/>
      <c r="B112" s="908"/>
      <c r="C112" s="915"/>
      <c r="D112" s="894"/>
      <c r="E112" s="895"/>
      <c r="F112" s="895"/>
      <c r="G112" s="801"/>
      <c r="H112" s="801"/>
    </row>
    <row r="113" spans="1:8" ht="12.75" customHeight="1" x14ac:dyDescent="0.2">
      <c r="A113" s="908"/>
      <c r="B113" s="908"/>
      <c r="C113" s="915"/>
      <c r="D113" s="894"/>
      <c r="E113" s="895"/>
      <c r="F113" s="895"/>
      <c r="G113" s="801"/>
      <c r="H113" s="801"/>
    </row>
    <row r="114" spans="1:8" ht="12.75" customHeight="1" x14ac:dyDescent="0.2">
      <c r="A114" s="908"/>
      <c r="B114" s="908"/>
      <c r="C114" s="915"/>
      <c r="D114" s="894"/>
      <c r="E114" s="895"/>
      <c r="F114" s="895"/>
      <c r="G114" s="801"/>
      <c r="H114" s="801"/>
    </row>
    <row r="115" spans="1:8" ht="12.75" customHeight="1" x14ac:dyDescent="0.2">
      <c r="A115" s="908"/>
      <c r="B115" s="908"/>
      <c r="C115" s="915"/>
      <c r="D115" s="894"/>
      <c r="E115" s="895"/>
      <c r="F115" s="895"/>
      <c r="G115" s="801"/>
      <c r="H115" s="801"/>
    </row>
    <row r="116" spans="1:8" ht="12.75" customHeight="1" x14ac:dyDescent="0.2">
      <c r="A116" s="908"/>
      <c r="B116" s="908"/>
      <c r="C116" s="915"/>
      <c r="D116" s="894" t="s">
        <v>458</v>
      </c>
      <c r="E116" s="895" t="s">
        <v>459</v>
      </c>
      <c r="F116" s="895"/>
      <c r="G116" s="801" t="s">
        <v>725</v>
      </c>
      <c r="H116" s="801"/>
    </row>
    <row r="117" spans="1:8" ht="12.75" customHeight="1" x14ac:dyDescent="0.2">
      <c r="A117" s="908"/>
      <c r="B117" s="908"/>
      <c r="C117" s="915"/>
      <c r="D117" s="894"/>
      <c r="E117" s="895"/>
      <c r="F117" s="895"/>
      <c r="G117" s="801"/>
      <c r="H117" s="801"/>
    </row>
    <row r="118" spans="1:8" ht="12.75" customHeight="1" x14ac:dyDescent="0.2">
      <c r="A118" s="908"/>
      <c r="B118" s="908"/>
      <c r="C118" s="915"/>
      <c r="D118" s="894"/>
      <c r="E118" s="895"/>
      <c r="F118" s="895"/>
      <c r="G118" s="801"/>
      <c r="H118" s="801"/>
    </row>
    <row r="119" spans="1:8" ht="12.75" customHeight="1" x14ac:dyDescent="0.2">
      <c r="A119" s="908"/>
      <c r="B119" s="908"/>
      <c r="C119" s="915"/>
      <c r="D119" s="894"/>
      <c r="E119" s="895"/>
      <c r="F119" s="895"/>
      <c r="G119" s="801"/>
      <c r="H119" s="801"/>
    </row>
    <row r="120" spans="1:8" ht="12.75" customHeight="1" x14ac:dyDescent="0.2">
      <c r="A120" s="908"/>
      <c r="B120" s="908"/>
      <c r="C120" s="915"/>
      <c r="D120" s="894"/>
      <c r="E120" s="895"/>
      <c r="F120" s="895"/>
      <c r="G120" s="801"/>
      <c r="H120" s="801"/>
    </row>
    <row r="121" spans="1:8" ht="12.75" customHeight="1" x14ac:dyDescent="0.2">
      <c r="A121" s="908"/>
      <c r="B121" s="908"/>
      <c r="C121" s="915"/>
      <c r="D121" s="894" t="s">
        <v>460</v>
      </c>
      <c r="E121" s="895" t="s">
        <v>461</v>
      </c>
      <c r="F121" s="895"/>
      <c r="G121" s="801" t="s">
        <v>725</v>
      </c>
      <c r="H121" s="801"/>
    </row>
    <row r="122" spans="1:8" ht="12.75" customHeight="1" x14ac:dyDescent="0.2">
      <c r="A122" s="908"/>
      <c r="B122" s="908"/>
      <c r="C122" s="915"/>
      <c r="D122" s="894"/>
      <c r="E122" s="895"/>
      <c r="F122" s="895"/>
      <c r="G122" s="801"/>
      <c r="H122" s="801"/>
    </row>
    <row r="123" spans="1:8" ht="12.75" customHeight="1" x14ac:dyDescent="0.2">
      <c r="A123" s="908"/>
      <c r="B123" s="908"/>
      <c r="C123" s="915"/>
      <c r="D123" s="894"/>
      <c r="E123" s="895"/>
      <c r="F123" s="895"/>
      <c r="G123" s="801"/>
      <c r="H123" s="801"/>
    </row>
    <row r="124" spans="1:8" ht="12.75" customHeight="1" x14ac:dyDescent="0.2">
      <c r="A124" s="908"/>
      <c r="B124" s="908"/>
      <c r="C124" s="915"/>
      <c r="D124" s="894"/>
      <c r="E124" s="895"/>
      <c r="F124" s="895"/>
      <c r="G124" s="801"/>
      <c r="H124" s="801"/>
    </row>
    <row r="125" spans="1:8" ht="12.75" customHeight="1" x14ac:dyDescent="0.2">
      <c r="A125" s="908"/>
      <c r="B125" s="908"/>
      <c r="C125" s="915"/>
      <c r="D125" s="894"/>
      <c r="E125" s="895"/>
      <c r="F125" s="895"/>
      <c r="G125" s="801"/>
      <c r="H125" s="801"/>
    </row>
    <row r="126" spans="1:8" ht="12.75" customHeight="1" x14ac:dyDescent="0.2">
      <c r="A126" s="908"/>
      <c r="B126" s="908"/>
      <c r="C126" s="915"/>
      <c r="D126" s="894"/>
      <c r="E126" s="895" t="s">
        <v>462</v>
      </c>
      <c r="F126" s="895"/>
      <c r="G126" s="912" t="s">
        <v>279</v>
      </c>
      <c r="H126" s="912"/>
    </row>
    <row r="127" spans="1:8" ht="12.75" customHeight="1" x14ac:dyDescent="0.2">
      <c r="A127" s="908"/>
      <c r="B127" s="908"/>
      <c r="C127" s="915"/>
      <c r="D127" s="894"/>
      <c r="E127" s="895"/>
      <c r="F127" s="895"/>
      <c r="G127" s="912"/>
      <c r="H127" s="912"/>
    </row>
    <row r="128" spans="1:8" ht="12.75" customHeight="1" x14ac:dyDescent="0.2">
      <c r="A128" s="908"/>
      <c r="B128" s="908"/>
      <c r="C128" s="915"/>
      <c r="D128" s="894"/>
      <c r="E128" s="895" t="s">
        <v>463</v>
      </c>
      <c r="F128" s="895"/>
      <c r="G128" s="801" t="s">
        <v>725</v>
      </c>
      <c r="H128" s="801"/>
    </row>
    <row r="129" spans="1:8" ht="12.75" customHeight="1" x14ac:dyDescent="0.2">
      <c r="A129" s="908"/>
      <c r="B129" s="908"/>
      <c r="C129" s="915"/>
      <c r="D129" s="894"/>
      <c r="E129" s="895"/>
      <c r="F129" s="895"/>
      <c r="G129" s="801"/>
      <c r="H129" s="801"/>
    </row>
    <row r="130" spans="1:8" ht="12.75" customHeight="1" x14ac:dyDescent="0.2">
      <c r="A130" s="908"/>
      <c r="B130" s="908"/>
      <c r="C130" s="915"/>
      <c r="D130" s="894"/>
      <c r="E130" s="895"/>
      <c r="F130" s="895"/>
      <c r="G130" s="801"/>
      <c r="H130" s="801"/>
    </row>
    <row r="131" spans="1:8" ht="12.75" customHeight="1" x14ac:dyDescent="0.2">
      <c r="A131" s="908"/>
      <c r="B131" s="908"/>
      <c r="C131" s="915"/>
      <c r="D131" s="894"/>
      <c r="E131" s="895"/>
      <c r="F131" s="895"/>
      <c r="G131" s="801"/>
      <c r="H131" s="801"/>
    </row>
    <row r="132" spans="1:8" ht="12.75" customHeight="1" x14ac:dyDescent="0.2">
      <c r="A132" s="908"/>
      <c r="B132" s="908"/>
      <c r="C132" s="915"/>
      <c r="D132" s="894"/>
      <c r="E132" s="895"/>
      <c r="F132" s="895"/>
      <c r="G132" s="801"/>
      <c r="H132" s="801"/>
    </row>
    <row r="133" spans="1:8" ht="12.75" customHeight="1" x14ac:dyDescent="0.2">
      <c r="A133" s="908"/>
      <c r="B133" s="908"/>
      <c r="C133" s="915"/>
      <c r="D133" s="894"/>
      <c r="E133" s="895" t="s">
        <v>464</v>
      </c>
      <c r="F133" s="895"/>
      <c r="G133" s="912" t="s">
        <v>279</v>
      </c>
      <c r="H133" s="912"/>
    </row>
    <row r="134" spans="1:8" ht="12.75" customHeight="1" x14ac:dyDescent="0.2">
      <c r="A134" s="908"/>
      <c r="B134" s="908"/>
      <c r="C134" s="915"/>
      <c r="D134" s="894"/>
      <c r="E134" s="895"/>
      <c r="F134" s="895"/>
      <c r="G134" s="912"/>
      <c r="H134" s="912"/>
    </row>
    <row r="135" spans="1:8" ht="12.75" customHeight="1" x14ac:dyDescent="0.2">
      <c r="A135" s="908"/>
      <c r="B135" s="908"/>
      <c r="C135" s="915"/>
      <c r="D135" s="894" t="s">
        <v>465</v>
      </c>
      <c r="E135" s="895" t="s">
        <v>466</v>
      </c>
      <c r="F135" s="895"/>
      <c r="G135" s="801" t="s">
        <v>708</v>
      </c>
      <c r="H135" s="801"/>
    </row>
    <row r="136" spans="1:8" ht="12.75" customHeight="1" x14ac:dyDescent="0.2">
      <c r="A136" s="908"/>
      <c r="B136" s="908"/>
      <c r="C136" s="915"/>
      <c r="D136" s="894"/>
      <c r="E136" s="895"/>
      <c r="F136" s="895"/>
      <c r="G136" s="801"/>
      <c r="H136" s="801"/>
    </row>
    <row r="137" spans="1:8" ht="12.75" customHeight="1" x14ac:dyDescent="0.2">
      <c r="A137" s="908"/>
      <c r="B137" s="908"/>
      <c r="C137" s="915"/>
      <c r="D137" s="894"/>
      <c r="E137" s="895"/>
      <c r="F137" s="895"/>
      <c r="G137" s="801"/>
      <c r="H137" s="801"/>
    </row>
    <row r="138" spans="1:8" ht="12.75" customHeight="1" x14ac:dyDescent="0.2">
      <c r="A138" s="908"/>
      <c r="B138" s="908"/>
      <c r="C138" s="915"/>
      <c r="D138" s="894"/>
      <c r="E138" s="895"/>
      <c r="F138" s="895"/>
      <c r="G138" s="801"/>
      <c r="H138" s="801"/>
    </row>
    <row r="139" spans="1:8" ht="12.75" customHeight="1" x14ac:dyDescent="0.2">
      <c r="A139" s="908"/>
      <c r="B139" s="908"/>
      <c r="C139" s="915"/>
      <c r="D139" s="894"/>
      <c r="E139" s="895"/>
      <c r="F139" s="895"/>
      <c r="G139" s="801"/>
      <c r="H139" s="801"/>
    </row>
    <row r="140" spans="1:8" ht="12.75" customHeight="1" x14ac:dyDescent="0.2">
      <c r="A140" s="908"/>
      <c r="B140" s="908"/>
      <c r="C140" s="915"/>
      <c r="D140" s="894"/>
      <c r="E140" s="895" t="s">
        <v>467</v>
      </c>
      <c r="F140" s="895"/>
      <c r="G140" s="912"/>
      <c r="H140" s="912"/>
    </row>
    <row r="141" spans="1:8" ht="12.75" customHeight="1" x14ac:dyDescent="0.2">
      <c r="A141" s="908"/>
      <c r="B141" s="908"/>
      <c r="C141" s="915"/>
      <c r="D141" s="894"/>
      <c r="E141" s="895"/>
      <c r="F141" s="895"/>
      <c r="G141" s="912"/>
      <c r="H141" s="912"/>
    </row>
    <row r="142" spans="1:8" ht="12.75" customHeight="1" x14ac:dyDescent="0.2">
      <c r="A142" s="908" t="s">
        <v>91</v>
      </c>
      <c r="B142" s="908" t="s">
        <v>454</v>
      </c>
      <c r="C142" s="913" t="s">
        <v>713</v>
      </c>
      <c r="D142" s="894" t="s">
        <v>456</v>
      </c>
      <c r="E142" s="895" t="s">
        <v>457</v>
      </c>
      <c r="F142" s="895"/>
      <c r="G142" s="1011" t="s">
        <v>712</v>
      </c>
      <c r="H142" s="1012"/>
    </row>
    <row r="143" spans="1:8" ht="12.75" customHeight="1" x14ac:dyDescent="0.2">
      <c r="A143" s="908"/>
      <c r="B143" s="908"/>
      <c r="C143" s="913"/>
      <c r="D143" s="894"/>
      <c r="E143" s="895"/>
      <c r="F143" s="895"/>
      <c r="G143" s="1013"/>
      <c r="H143" s="1014"/>
    </row>
    <row r="144" spans="1:8" ht="12.75" customHeight="1" x14ac:dyDescent="0.2">
      <c r="A144" s="908"/>
      <c r="B144" s="908"/>
      <c r="C144" s="913"/>
      <c r="D144" s="894"/>
      <c r="E144" s="895"/>
      <c r="F144" s="895"/>
      <c r="G144" s="1013"/>
      <c r="H144" s="1014"/>
    </row>
    <row r="145" spans="1:8" ht="12.75" customHeight="1" x14ac:dyDescent="0.2">
      <c r="A145" s="908"/>
      <c r="B145" s="908"/>
      <c r="C145" s="913"/>
      <c r="D145" s="894"/>
      <c r="E145" s="895"/>
      <c r="F145" s="895"/>
      <c r="G145" s="1013"/>
      <c r="H145" s="1014"/>
    </row>
    <row r="146" spans="1:8" ht="12.75" customHeight="1" x14ac:dyDescent="0.2">
      <c r="A146" s="908"/>
      <c r="B146" s="908"/>
      <c r="C146" s="913"/>
      <c r="D146" s="894"/>
      <c r="E146" s="895"/>
      <c r="F146" s="895"/>
      <c r="G146" s="1015"/>
      <c r="H146" s="1016"/>
    </row>
    <row r="147" spans="1:8" ht="12.75" customHeight="1" x14ac:dyDescent="0.2">
      <c r="A147" s="908"/>
      <c r="B147" s="908"/>
      <c r="C147" s="913"/>
      <c r="D147" s="894" t="s">
        <v>458</v>
      </c>
      <c r="E147" s="895" t="s">
        <v>459</v>
      </c>
      <c r="F147" s="895"/>
      <c r="G147" s="1011" t="s">
        <v>712</v>
      </c>
      <c r="H147" s="1012"/>
    </row>
    <row r="148" spans="1:8" ht="12.75" customHeight="1" x14ac:dyDescent="0.2">
      <c r="A148" s="908"/>
      <c r="B148" s="908"/>
      <c r="C148" s="913"/>
      <c r="D148" s="894"/>
      <c r="E148" s="895"/>
      <c r="F148" s="895"/>
      <c r="G148" s="1013"/>
      <c r="H148" s="1014"/>
    </row>
    <row r="149" spans="1:8" ht="12.75" customHeight="1" x14ac:dyDescent="0.2">
      <c r="A149" s="908"/>
      <c r="B149" s="908"/>
      <c r="C149" s="913"/>
      <c r="D149" s="894"/>
      <c r="E149" s="895"/>
      <c r="F149" s="895"/>
      <c r="G149" s="1013"/>
      <c r="H149" s="1014"/>
    </row>
    <row r="150" spans="1:8" ht="12.75" customHeight="1" x14ac:dyDescent="0.2">
      <c r="A150" s="908"/>
      <c r="B150" s="908"/>
      <c r="C150" s="913"/>
      <c r="D150" s="894"/>
      <c r="E150" s="895"/>
      <c r="F150" s="895"/>
      <c r="G150" s="1013"/>
      <c r="H150" s="1014"/>
    </row>
    <row r="151" spans="1:8" ht="12.75" customHeight="1" x14ac:dyDescent="0.2">
      <c r="A151" s="908"/>
      <c r="B151" s="908"/>
      <c r="C151" s="913"/>
      <c r="D151" s="894"/>
      <c r="E151" s="895"/>
      <c r="F151" s="895"/>
      <c r="G151" s="1015"/>
      <c r="H151" s="1016"/>
    </row>
    <row r="152" spans="1:8" ht="12.75" customHeight="1" x14ac:dyDescent="0.2">
      <c r="A152" s="908"/>
      <c r="B152" s="908"/>
      <c r="C152" s="913"/>
      <c r="D152" s="894" t="s">
        <v>460</v>
      </c>
      <c r="E152" s="895" t="s">
        <v>461</v>
      </c>
      <c r="F152" s="895"/>
      <c r="G152" s="1011" t="s">
        <v>712</v>
      </c>
      <c r="H152" s="1012"/>
    </row>
    <row r="153" spans="1:8" ht="12.75" customHeight="1" x14ac:dyDescent="0.2">
      <c r="A153" s="908"/>
      <c r="B153" s="908"/>
      <c r="C153" s="913"/>
      <c r="D153" s="894"/>
      <c r="E153" s="895"/>
      <c r="F153" s="895"/>
      <c r="G153" s="1013"/>
      <c r="H153" s="1014"/>
    </row>
    <row r="154" spans="1:8" ht="12.75" customHeight="1" x14ac:dyDescent="0.2">
      <c r="A154" s="908"/>
      <c r="B154" s="908"/>
      <c r="C154" s="913"/>
      <c r="D154" s="894"/>
      <c r="E154" s="895"/>
      <c r="F154" s="895"/>
      <c r="G154" s="1013"/>
      <c r="H154" s="1014"/>
    </row>
    <row r="155" spans="1:8" ht="12.75" customHeight="1" x14ac:dyDescent="0.2">
      <c r="A155" s="908"/>
      <c r="B155" s="908"/>
      <c r="C155" s="913"/>
      <c r="D155" s="894"/>
      <c r="E155" s="895"/>
      <c r="F155" s="895"/>
      <c r="G155" s="1013"/>
      <c r="H155" s="1014"/>
    </row>
    <row r="156" spans="1:8" ht="12.75" customHeight="1" x14ac:dyDescent="0.2">
      <c r="A156" s="908"/>
      <c r="B156" s="908"/>
      <c r="C156" s="913"/>
      <c r="D156" s="894"/>
      <c r="E156" s="895"/>
      <c r="F156" s="895"/>
      <c r="G156" s="1015"/>
      <c r="H156" s="1016"/>
    </row>
    <row r="157" spans="1:8" ht="12.75" customHeight="1" x14ac:dyDescent="0.2">
      <c r="A157" s="908"/>
      <c r="B157" s="908"/>
      <c r="C157" s="913"/>
      <c r="D157" s="894"/>
      <c r="E157" s="895" t="s">
        <v>462</v>
      </c>
      <c r="F157" s="895"/>
      <c r="G157" s="912" t="s">
        <v>279</v>
      </c>
      <c r="H157" s="912"/>
    </row>
    <row r="158" spans="1:8" ht="12.75" customHeight="1" x14ac:dyDescent="0.2">
      <c r="A158" s="908"/>
      <c r="B158" s="908"/>
      <c r="C158" s="913"/>
      <c r="D158" s="894"/>
      <c r="E158" s="895"/>
      <c r="F158" s="895"/>
      <c r="G158" s="912"/>
      <c r="H158" s="912"/>
    </row>
    <row r="159" spans="1:8" ht="12.75" customHeight="1" x14ac:dyDescent="0.2">
      <c r="A159" s="908"/>
      <c r="B159" s="908"/>
      <c r="C159" s="913"/>
      <c r="D159" s="894"/>
      <c r="E159" s="895" t="s">
        <v>463</v>
      </c>
      <c r="F159" s="895"/>
      <c r="G159" s="1011" t="s">
        <v>712</v>
      </c>
      <c r="H159" s="1012"/>
    </row>
    <row r="160" spans="1:8" ht="12.75" customHeight="1" x14ac:dyDescent="0.2">
      <c r="A160" s="908"/>
      <c r="B160" s="908"/>
      <c r="C160" s="913"/>
      <c r="D160" s="894"/>
      <c r="E160" s="895"/>
      <c r="F160" s="895"/>
      <c r="G160" s="1013"/>
      <c r="H160" s="1014"/>
    </row>
    <row r="161" spans="1:8" ht="12.75" customHeight="1" x14ac:dyDescent="0.2">
      <c r="A161" s="908"/>
      <c r="B161" s="908"/>
      <c r="C161" s="913"/>
      <c r="D161" s="894"/>
      <c r="E161" s="895"/>
      <c r="F161" s="895"/>
      <c r="G161" s="1013"/>
      <c r="H161" s="1014"/>
    </row>
    <row r="162" spans="1:8" ht="12.75" customHeight="1" x14ac:dyDescent="0.2">
      <c r="A162" s="908"/>
      <c r="B162" s="908"/>
      <c r="C162" s="913"/>
      <c r="D162" s="894"/>
      <c r="E162" s="895"/>
      <c r="F162" s="895"/>
      <c r="G162" s="1013"/>
      <c r="H162" s="1014"/>
    </row>
    <row r="163" spans="1:8" ht="12.75" customHeight="1" x14ac:dyDescent="0.2">
      <c r="A163" s="908"/>
      <c r="B163" s="908"/>
      <c r="C163" s="913"/>
      <c r="D163" s="894"/>
      <c r="E163" s="895"/>
      <c r="F163" s="895"/>
      <c r="G163" s="1015"/>
      <c r="H163" s="1016"/>
    </row>
    <row r="164" spans="1:8" ht="12.75" customHeight="1" x14ac:dyDescent="0.2">
      <c r="A164" s="908"/>
      <c r="B164" s="908"/>
      <c r="C164" s="913"/>
      <c r="D164" s="894"/>
      <c r="E164" s="895" t="s">
        <v>464</v>
      </c>
      <c r="F164" s="895"/>
      <c r="G164" s="912" t="s">
        <v>279</v>
      </c>
      <c r="H164" s="912"/>
    </row>
    <row r="165" spans="1:8" ht="12.75" customHeight="1" x14ac:dyDescent="0.2">
      <c r="A165" s="908"/>
      <c r="B165" s="908"/>
      <c r="C165" s="913"/>
      <c r="D165" s="894"/>
      <c r="E165" s="895"/>
      <c r="F165" s="895"/>
      <c r="G165" s="912"/>
      <c r="H165" s="912"/>
    </row>
    <row r="166" spans="1:8" ht="12.75" customHeight="1" x14ac:dyDescent="0.2">
      <c r="A166" s="908"/>
      <c r="B166" s="908"/>
      <c r="C166" s="913"/>
      <c r="D166" s="894" t="s">
        <v>465</v>
      </c>
      <c r="E166" s="895" t="s">
        <v>466</v>
      </c>
      <c r="F166" s="895"/>
      <c r="G166" s="801" t="s">
        <v>708</v>
      </c>
      <c r="H166" s="801"/>
    </row>
    <row r="167" spans="1:8" ht="12.75" customHeight="1" x14ac:dyDescent="0.2">
      <c r="A167" s="908"/>
      <c r="B167" s="908"/>
      <c r="C167" s="913"/>
      <c r="D167" s="894"/>
      <c r="E167" s="895"/>
      <c r="F167" s="895"/>
      <c r="G167" s="801"/>
      <c r="H167" s="801"/>
    </row>
    <row r="168" spans="1:8" ht="12.75" customHeight="1" x14ac:dyDescent="0.2">
      <c r="A168" s="908"/>
      <c r="B168" s="908"/>
      <c r="C168" s="913"/>
      <c r="D168" s="894"/>
      <c r="E168" s="895"/>
      <c r="F168" s="895"/>
      <c r="G168" s="801"/>
      <c r="H168" s="801"/>
    </row>
    <row r="169" spans="1:8" ht="12.75" customHeight="1" x14ac:dyDescent="0.2">
      <c r="A169" s="908"/>
      <c r="B169" s="908"/>
      <c r="C169" s="913"/>
      <c r="D169" s="894"/>
      <c r="E169" s="895"/>
      <c r="F169" s="895"/>
      <c r="G169" s="801"/>
      <c r="H169" s="801"/>
    </row>
    <row r="170" spans="1:8" ht="12.75" customHeight="1" x14ac:dyDescent="0.2">
      <c r="A170" s="908"/>
      <c r="B170" s="908"/>
      <c r="C170" s="913"/>
      <c r="D170" s="894"/>
      <c r="E170" s="895"/>
      <c r="F170" s="895"/>
      <c r="G170" s="801"/>
      <c r="H170" s="801"/>
    </row>
    <row r="171" spans="1:8" ht="12.75" customHeight="1" x14ac:dyDescent="0.2">
      <c r="A171" s="908"/>
      <c r="B171" s="908"/>
      <c r="C171" s="913"/>
      <c r="D171" s="894"/>
      <c r="E171" s="895" t="s">
        <v>467</v>
      </c>
      <c r="F171" s="895"/>
      <c r="G171" s="912"/>
      <c r="H171" s="912"/>
    </row>
    <row r="172" spans="1:8" ht="12.75" customHeight="1" x14ac:dyDescent="0.2">
      <c r="A172" s="908"/>
      <c r="B172" s="908"/>
      <c r="C172" s="913"/>
      <c r="D172" s="894"/>
      <c r="E172" s="895"/>
      <c r="F172" s="895"/>
      <c r="G172" s="912"/>
      <c r="H172" s="912"/>
    </row>
    <row r="173" spans="1:8" ht="12.75" customHeight="1" x14ac:dyDescent="0.2">
      <c r="A173" s="598" t="s">
        <v>722</v>
      </c>
      <c r="B173" s="598" t="s">
        <v>468</v>
      </c>
      <c r="C173" s="598" t="s">
        <v>723</v>
      </c>
      <c r="D173" s="783" t="s">
        <v>456</v>
      </c>
      <c r="E173" s="623" t="s">
        <v>469</v>
      </c>
      <c r="F173" s="624"/>
      <c r="G173" s="1045" t="s">
        <v>724</v>
      </c>
      <c r="H173" s="1046"/>
    </row>
    <row r="174" spans="1:8" ht="12.75" customHeight="1" x14ac:dyDescent="0.2">
      <c r="A174" s="599"/>
      <c r="B174" s="599"/>
      <c r="C174" s="599"/>
      <c r="D174" s="784"/>
      <c r="E174" s="625"/>
      <c r="F174" s="626"/>
      <c r="G174" s="1047"/>
      <c r="H174" s="1048"/>
    </row>
    <row r="175" spans="1:8" ht="12.75" customHeight="1" x14ac:dyDescent="0.2">
      <c r="A175" s="599"/>
      <c r="B175" s="599"/>
      <c r="C175" s="599"/>
      <c r="D175" s="784"/>
      <c r="E175" s="625"/>
      <c r="F175" s="626"/>
      <c r="G175" s="1047"/>
      <c r="H175" s="1048"/>
    </row>
    <row r="176" spans="1:8" ht="12.75" customHeight="1" x14ac:dyDescent="0.2">
      <c r="A176" s="599"/>
      <c r="B176" s="599"/>
      <c r="C176" s="599"/>
      <c r="D176" s="784"/>
      <c r="E176" s="625"/>
      <c r="F176" s="626"/>
      <c r="G176" s="1047"/>
      <c r="H176" s="1048"/>
    </row>
    <row r="177" spans="1:8" ht="12.75" customHeight="1" x14ac:dyDescent="0.2">
      <c r="A177" s="600"/>
      <c r="B177" s="600"/>
      <c r="C177" s="600"/>
      <c r="D177" s="785"/>
      <c r="E177" s="627"/>
      <c r="F177" s="628"/>
      <c r="G177" s="1049"/>
      <c r="H177" s="1050"/>
    </row>
    <row r="178" spans="1:8" ht="12.75" customHeight="1" x14ac:dyDescent="0.2">
      <c r="A178" s="1017" t="s">
        <v>740</v>
      </c>
      <c r="B178" s="1017" t="s">
        <v>468</v>
      </c>
      <c r="C178" s="1017" t="s">
        <v>741</v>
      </c>
      <c r="D178" s="783" t="s">
        <v>456</v>
      </c>
      <c r="E178" s="623" t="s">
        <v>469</v>
      </c>
      <c r="F178" s="624"/>
      <c r="G178" s="1011" t="s">
        <v>712</v>
      </c>
      <c r="H178" s="1012"/>
    </row>
    <row r="179" spans="1:8" ht="12.75" customHeight="1" x14ac:dyDescent="0.2">
      <c r="A179" s="1018"/>
      <c r="B179" s="1018"/>
      <c r="C179" s="1018"/>
      <c r="D179" s="784"/>
      <c r="E179" s="625"/>
      <c r="F179" s="626"/>
      <c r="G179" s="1013"/>
      <c r="H179" s="1014"/>
    </row>
    <row r="180" spans="1:8" ht="12.75" customHeight="1" x14ac:dyDescent="0.2">
      <c r="A180" s="1018"/>
      <c r="B180" s="1018"/>
      <c r="C180" s="1018"/>
      <c r="D180" s="784"/>
      <c r="E180" s="625"/>
      <c r="F180" s="626"/>
      <c r="G180" s="1013"/>
      <c r="H180" s="1014"/>
    </row>
    <row r="181" spans="1:8" ht="12.75" customHeight="1" x14ac:dyDescent="0.2">
      <c r="A181" s="1018"/>
      <c r="B181" s="1018"/>
      <c r="C181" s="1018"/>
      <c r="D181" s="784"/>
      <c r="E181" s="625"/>
      <c r="F181" s="626"/>
      <c r="G181" s="1013"/>
      <c r="H181" s="1014"/>
    </row>
    <row r="182" spans="1:8" ht="12.75" customHeight="1" x14ac:dyDescent="0.2">
      <c r="A182" s="1019"/>
      <c r="B182" s="1019"/>
      <c r="C182" s="1019"/>
      <c r="D182" s="785"/>
      <c r="E182" s="627"/>
      <c r="F182" s="628"/>
      <c r="G182" s="1015"/>
      <c r="H182" s="1016"/>
    </row>
    <row r="183" spans="1:8" ht="12.75" customHeight="1" x14ac:dyDescent="0.2">
      <c r="A183" s="909" t="s">
        <v>719</v>
      </c>
      <c r="B183" s="909" t="s">
        <v>468</v>
      </c>
      <c r="C183" s="1020" t="s">
        <v>737</v>
      </c>
      <c r="D183" s="896" t="s">
        <v>456</v>
      </c>
      <c r="E183" s="897" t="s">
        <v>469</v>
      </c>
      <c r="F183" s="897"/>
      <c r="G183" s="845"/>
      <c r="H183" s="845"/>
    </row>
    <row r="184" spans="1:8" ht="12.75" customHeight="1" x14ac:dyDescent="0.2">
      <c r="A184" s="909"/>
      <c r="B184" s="909"/>
      <c r="C184" s="1020"/>
      <c r="D184" s="896"/>
      <c r="E184" s="897"/>
      <c r="F184" s="897"/>
      <c r="G184" s="845"/>
      <c r="H184" s="845"/>
    </row>
    <row r="185" spans="1:8" ht="12.75" customHeight="1" x14ac:dyDescent="0.2">
      <c r="A185" s="909"/>
      <c r="B185" s="909"/>
      <c r="C185" s="1020"/>
      <c r="D185" s="896"/>
      <c r="E185" s="897"/>
      <c r="F185" s="897"/>
      <c r="G185" s="845"/>
      <c r="H185" s="845"/>
    </row>
    <row r="186" spans="1:8" ht="12.75" customHeight="1" x14ac:dyDescent="0.2">
      <c r="A186" s="909"/>
      <c r="B186" s="909"/>
      <c r="C186" s="1020"/>
      <c r="D186" s="896"/>
      <c r="E186" s="897"/>
      <c r="F186" s="897"/>
      <c r="G186" s="845"/>
      <c r="H186" s="845"/>
    </row>
    <row r="187" spans="1:8" ht="12.75" customHeight="1" x14ac:dyDescent="0.2">
      <c r="A187" s="909"/>
      <c r="B187" s="909"/>
      <c r="C187" s="1020"/>
      <c r="D187" s="896"/>
      <c r="E187" s="897"/>
      <c r="F187" s="897"/>
      <c r="G187" s="845"/>
      <c r="H187" s="845"/>
    </row>
  </sheetData>
  <sheetProtection algorithmName="SHA-512" hashValue="UXBkzpzZ0E4Vl+bYlqEzM4x1zOxLFE2dqglt7UwhaVRvzd7WzLdH3SFAkdGnd+wqKI6OlBUxmczW1hkk8GnMdw==" saltValue="UP/n87jkbaa8s7v18y35rA==" spinCount="100000" sheet="1" objects="1" scenarios="1"/>
  <mergeCells count="198">
    <mergeCell ref="A183:A187"/>
    <mergeCell ref="B183:B187"/>
    <mergeCell ref="C183:C187"/>
    <mergeCell ref="D183:D187"/>
    <mergeCell ref="A178:A182"/>
    <mergeCell ref="B178:B182"/>
    <mergeCell ref="C178:C182"/>
    <mergeCell ref="D178:D182"/>
    <mergeCell ref="E178:F182"/>
    <mergeCell ref="G178:H182"/>
    <mergeCell ref="E164:F165"/>
    <mergeCell ref="G164:H165"/>
    <mergeCell ref="D166:D172"/>
    <mergeCell ref="E166:F170"/>
    <mergeCell ref="G166:H170"/>
    <mergeCell ref="E171:F172"/>
    <mergeCell ref="G171:H172"/>
    <mergeCell ref="E152:F156"/>
    <mergeCell ref="G152:H156"/>
    <mergeCell ref="E157:F158"/>
    <mergeCell ref="G157:H158"/>
    <mergeCell ref="E159:F163"/>
    <mergeCell ref="G159:H163"/>
    <mergeCell ref="G173:H177"/>
    <mergeCell ref="A142:A172"/>
    <mergeCell ref="B142:B172"/>
    <mergeCell ref="C142:C172"/>
    <mergeCell ref="D142:D146"/>
    <mergeCell ref="E142:F146"/>
    <mergeCell ref="G142:H146"/>
    <mergeCell ref="D147:D151"/>
    <mergeCell ref="E147:F151"/>
    <mergeCell ref="G147:H151"/>
    <mergeCell ref="D152:D165"/>
    <mergeCell ref="E140:F141"/>
    <mergeCell ref="G140:H141"/>
    <mergeCell ref="G111:H115"/>
    <mergeCell ref="D116:D120"/>
    <mergeCell ref="E116:F120"/>
    <mergeCell ref="G116:H120"/>
    <mergeCell ref="D121:D134"/>
    <mergeCell ref="E121:F125"/>
    <mergeCell ref="G121:H125"/>
    <mergeCell ref="E126:F127"/>
    <mergeCell ref="G126:H127"/>
    <mergeCell ref="E128:F132"/>
    <mergeCell ref="E104:F108"/>
    <mergeCell ref="G104:H108"/>
    <mergeCell ref="E109:F110"/>
    <mergeCell ref="G109:H110"/>
    <mergeCell ref="A111:A141"/>
    <mergeCell ref="B111:B141"/>
    <mergeCell ref="C111:C141"/>
    <mergeCell ref="D111:D115"/>
    <mergeCell ref="E111:F115"/>
    <mergeCell ref="A80:A110"/>
    <mergeCell ref="B80:B110"/>
    <mergeCell ref="C80:C110"/>
    <mergeCell ref="D80:D84"/>
    <mergeCell ref="E80:F84"/>
    <mergeCell ref="G80:H84"/>
    <mergeCell ref="D85:D89"/>
    <mergeCell ref="E85:F89"/>
    <mergeCell ref="G85:H89"/>
    <mergeCell ref="G128:H132"/>
    <mergeCell ref="E133:F134"/>
    <mergeCell ref="G133:H134"/>
    <mergeCell ref="D135:D141"/>
    <mergeCell ref="E135:F139"/>
    <mergeCell ref="G135:H139"/>
    <mergeCell ref="A173:A177"/>
    <mergeCell ref="B173:B177"/>
    <mergeCell ref="C173:C177"/>
    <mergeCell ref="D173:D177"/>
    <mergeCell ref="E173:F177"/>
    <mergeCell ref="E183:F187"/>
    <mergeCell ref="G183:H187"/>
    <mergeCell ref="D79:H79"/>
    <mergeCell ref="A72:B72"/>
    <mergeCell ref="A73:B74"/>
    <mergeCell ref="C73:H74"/>
    <mergeCell ref="A75:B76"/>
    <mergeCell ref="C75:H76"/>
    <mergeCell ref="A78:H78"/>
    <mergeCell ref="D90:D103"/>
    <mergeCell ref="E90:F94"/>
    <mergeCell ref="G90:H94"/>
    <mergeCell ref="E95:F96"/>
    <mergeCell ref="G95:H96"/>
    <mergeCell ref="E97:F101"/>
    <mergeCell ref="G97:H101"/>
    <mergeCell ref="E102:F103"/>
    <mergeCell ref="G102:H103"/>
    <mergeCell ref="D104:D110"/>
    <mergeCell ref="A69:B69"/>
    <mergeCell ref="C69:D69"/>
    <mergeCell ref="E69:F69"/>
    <mergeCell ref="G69:H69"/>
    <mergeCell ref="A70:B70"/>
    <mergeCell ref="C70:D70"/>
    <mergeCell ref="E70:F70"/>
    <mergeCell ref="G70:H70"/>
    <mergeCell ref="C66:D66"/>
    <mergeCell ref="C67:D67"/>
    <mergeCell ref="E67:F67"/>
    <mergeCell ref="G67:H67"/>
    <mergeCell ref="A68:B68"/>
    <mergeCell ref="C68:D68"/>
    <mergeCell ref="E68:F68"/>
    <mergeCell ref="G68:H68"/>
    <mergeCell ref="A62:H62"/>
    <mergeCell ref="A63:A65"/>
    <mergeCell ref="B63:B65"/>
    <mergeCell ref="C63:C65"/>
    <mergeCell ref="D63:D65"/>
    <mergeCell ref="E63:E65"/>
    <mergeCell ref="F63:F65"/>
    <mergeCell ref="G63:G65"/>
    <mergeCell ref="H63:H65"/>
    <mergeCell ref="A58:H58"/>
    <mergeCell ref="A59:A61"/>
    <mergeCell ref="B59:B61"/>
    <mergeCell ref="C59:C61"/>
    <mergeCell ref="D59:D61"/>
    <mergeCell ref="E59:E61"/>
    <mergeCell ref="F59:F61"/>
    <mergeCell ref="G59:G61"/>
    <mergeCell ref="H59:H61"/>
    <mergeCell ref="A54:H54"/>
    <mergeCell ref="A55:A57"/>
    <mergeCell ref="B55:B57"/>
    <mergeCell ref="C55:C57"/>
    <mergeCell ref="D55:D57"/>
    <mergeCell ref="E55:E57"/>
    <mergeCell ref="F55:F57"/>
    <mergeCell ref="G55:G57"/>
    <mergeCell ref="H55:H57"/>
    <mergeCell ref="A47:B49"/>
    <mergeCell ref="C47:D49"/>
    <mergeCell ref="E47:F49"/>
    <mergeCell ref="G47:H49"/>
    <mergeCell ref="A51:A53"/>
    <mergeCell ref="B51:B53"/>
    <mergeCell ref="C51:C53"/>
    <mergeCell ref="D51:D53"/>
    <mergeCell ref="E51:E53"/>
    <mergeCell ref="F51:F53"/>
    <mergeCell ref="G51:G53"/>
    <mergeCell ref="H51:H53"/>
    <mergeCell ref="A44:B44"/>
    <mergeCell ref="C44:D44"/>
    <mergeCell ref="E44:F44"/>
    <mergeCell ref="G44:H44"/>
    <mergeCell ref="A45:B46"/>
    <mergeCell ref="C45:D46"/>
    <mergeCell ref="E45:F46"/>
    <mergeCell ref="G45:H46"/>
    <mergeCell ref="A33:B42"/>
    <mergeCell ref="C33:D42"/>
    <mergeCell ref="E33:F42"/>
    <mergeCell ref="G33:H42"/>
    <mergeCell ref="A43:B43"/>
    <mergeCell ref="C43:D43"/>
    <mergeCell ref="E43:F43"/>
    <mergeCell ref="G43:H43"/>
    <mergeCell ref="A28:B29"/>
    <mergeCell ref="C28:H29"/>
    <mergeCell ref="C31:D31"/>
    <mergeCell ref="E31:F31"/>
    <mergeCell ref="G31:H31"/>
    <mergeCell ref="A32:B32"/>
    <mergeCell ref="C32:D32"/>
    <mergeCell ref="E32:F32"/>
    <mergeCell ref="G32:H32"/>
    <mergeCell ref="A25:B25"/>
    <mergeCell ref="C25:H25"/>
    <mergeCell ref="A26:B26"/>
    <mergeCell ref="C26:H26"/>
    <mergeCell ref="A27:B27"/>
    <mergeCell ref="C27:H27"/>
    <mergeCell ref="A22:B22"/>
    <mergeCell ref="C22:H22"/>
    <mergeCell ref="A23:B23"/>
    <mergeCell ref="C23:H23"/>
    <mergeCell ref="A24:B24"/>
    <mergeCell ref="C24:H24"/>
    <mergeCell ref="A11:B13"/>
    <mergeCell ref="C11:H13"/>
    <mergeCell ref="A15:B20"/>
    <mergeCell ref="C15:H20"/>
    <mergeCell ref="A21:B21"/>
    <mergeCell ref="C21:H21"/>
    <mergeCell ref="A8:B8"/>
    <mergeCell ref="C8:H8"/>
    <mergeCell ref="A9:B9"/>
    <mergeCell ref="C9:H9"/>
    <mergeCell ref="A10:B10"/>
    <mergeCell ref="C10:H10"/>
  </mergeCells>
  <conditionalFormatting sqref="G171">
    <cfRule type="containsText" dxfId="74" priority="16" operator="containsText" text="Yes">
      <formula>NOT(ISERROR(SEARCH("Yes",G171)))</formula>
    </cfRule>
    <cfRule type="containsText" dxfId="73" priority="17" operator="containsText" text="No">
      <formula>NOT(ISERROR(SEARCH("No",G171)))</formula>
    </cfRule>
    <cfRule type="containsText" dxfId="72" priority="18" operator="containsText" text="N/A">
      <formula>NOT(ISERROR(SEARCH("N/A",G171)))</formula>
    </cfRule>
  </conditionalFormatting>
  <conditionalFormatting sqref="G95">
    <cfRule type="containsText" dxfId="71" priority="34" operator="containsText" text="Yes">
      <formula>NOT(ISERROR(SEARCH("Yes",G95)))</formula>
    </cfRule>
    <cfRule type="containsText" dxfId="70" priority="35" operator="containsText" text="No">
      <formula>NOT(ISERROR(SEARCH("No",G95)))</formula>
    </cfRule>
    <cfRule type="containsText" dxfId="69" priority="36" operator="containsText" text="N/A">
      <formula>NOT(ISERROR(SEARCH("N/A",G95)))</formula>
    </cfRule>
  </conditionalFormatting>
  <conditionalFormatting sqref="G102">
    <cfRule type="containsText" dxfId="68" priority="31" operator="containsText" text="Yes">
      <formula>NOT(ISERROR(SEARCH("Yes",G102)))</formula>
    </cfRule>
    <cfRule type="containsText" dxfId="67" priority="32" operator="containsText" text="No">
      <formula>NOT(ISERROR(SEARCH("No",G102)))</formula>
    </cfRule>
    <cfRule type="containsText" dxfId="66" priority="33" operator="containsText" text="N/A">
      <formula>NOT(ISERROR(SEARCH("N/A",G102)))</formula>
    </cfRule>
  </conditionalFormatting>
  <conditionalFormatting sqref="G126">
    <cfRule type="containsText" dxfId="65" priority="22" operator="containsText" text="Yes">
      <formula>NOT(ISERROR(SEARCH("Yes",G126)))</formula>
    </cfRule>
    <cfRule type="containsText" dxfId="64" priority="23" operator="containsText" text="No">
      <formula>NOT(ISERROR(SEARCH("No",G126)))</formula>
    </cfRule>
    <cfRule type="containsText" dxfId="63" priority="24" operator="containsText" text="N/A">
      <formula>NOT(ISERROR(SEARCH("N/A",G126)))</formula>
    </cfRule>
  </conditionalFormatting>
  <conditionalFormatting sqref="G140">
    <cfRule type="containsText" dxfId="62" priority="25" operator="containsText" text="Yes">
      <formula>NOT(ISERROR(SEARCH("Yes",G140)))</formula>
    </cfRule>
    <cfRule type="containsText" dxfId="61" priority="26" operator="containsText" text="No">
      <formula>NOT(ISERROR(SEARCH("No",G140)))</formula>
    </cfRule>
    <cfRule type="containsText" dxfId="60" priority="27" operator="containsText" text="N/A">
      <formula>NOT(ISERROR(SEARCH("N/A",G140)))</formula>
    </cfRule>
  </conditionalFormatting>
  <conditionalFormatting sqref="G109">
    <cfRule type="containsText" dxfId="59" priority="28" operator="containsText" text="Yes">
      <formula>NOT(ISERROR(SEARCH("Yes",G109)))</formula>
    </cfRule>
    <cfRule type="containsText" dxfId="58" priority="29" operator="containsText" text="No">
      <formula>NOT(ISERROR(SEARCH("No",G109)))</formula>
    </cfRule>
    <cfRule type="containsText" dxfId="57" priority="30" operator="containsText" text="N/A">
      <formula>NOT(ISERROR(SEARCH("N/A",G109)))</formula>
    </cfRule>
  </conditionalFormatting>
  <conditionalFormatting sqref="G133">
    <cfRule type="containsText" dxfId="56" priority="19" operator="containsText" text="Yes">
      <formula>NOT(ISERROR(SEARCH("Yes",G133)))</formula>
    </cfRule>
    <cfRule type="containsText" dxfId="55" priority="20" operator="containsText" text="No">
      <formula>NOT(ISERROR(SEARCH("No",G133)))</formula>
    </cfRule>
    <cfRule type="containsText" dxfId="54" priority="21" operator="containsText" text="N/A">
      <formula>NOT(ISERROR(SEARCH("N/A",G133)))</formula>
    </cfRule>
  </conditionalFormatting>
  <conditionalFormatting sqref="G157">
    <cfRule type="containsText" dxfId="53" priority="13" operator="containsText" text="Yes">
      <formula>NOT(ISERROR(SEARCH("Yes",G157)))</formula>
    </cfRule>
    <cfRule type="containsText" dxfId="52" priority="14" operator="containsText" text="No">
      <formula>NOT(ISERROR(SEARCH("No",G157)))</formula>
    </cfRule>
    <cfRule type="containsText" dxfId="51" priority="15" operator="containsText" text="N/A">
      <formula>NOT(ISERROR(SEARCH("N/A",G157)))</formula>
    </cfRule>
  </conditionalFormatting>
  <conditionalFormatting sqref="G164">
    <cfRule type="containsText" dxfId="50" priority="10" operator="containsText" text="Yes">
      <formula>NOT(ISERROR(SEARCH("Yes",G164)))</formula>
    </cfRule>
    <cfRule type="containsText" dxfId="49" priority="11" operator="containsText" text="No">
      <formula>NOT(ISERROR(SEARCH("No",G164)))</formula>
    </cfRule>
    <cfRule type="containsText" dxfId="48" priority="12" operator="containsText" text="N/A">
      <formula>NOT(ISERROR(SEARCH("N/A",G164)))</formula>
    </cfRule>
  </conditionalFormatting>
  <pageMargins left="0.7" right="0.7" top="0.75" bottom="0.75" header="0.3" footer="0.3"/>
  <pageSetup scale="49" fitToHeight="0" orientation="landscape" r:id="rId1"/>
  <drawing r:id="rId2"/>
  <legacyDrawing r:id="rId3"/>
  <controls>
    <mc:AlternateContent xmlns:mc="http://schemas.openxmlformats.org/markup-compatibility/2006">
      <mc:Choice Requires="x14">
        <control shapeId="22529" r:id="rId4" name="backMenuBtn">
          <controlPr defaultSize="0" autoLine="0" r:id="rId5">
            <anchor moveWithCells="1">
              <from>
                <xdr:col>0</xdr:col>
                <xdr:colOff>0</xdr:colOff>
                <xdr:row>0</xdr:row>
                <xdr:rowOff>0</xdr:rowOff>
              </from>
              <to>
                <xdr:col>0</xdr:col>
                <xdr:colOff>1200150</xdr:colOff>
                <xdr:row>1</xdr:row>
                <xdr:rowOff>123825</xdr:rowOff>
              </to>
            </anchor>
          </controlPr>
        </control>
      </mc:Choice>
      <mc:Fallback>
        <control shapeId="22529" r:id="rId4" name="backMenuBtn"/>
      </mc:Fallback>
    </mc:AlternateContent>
    <mc:AlternateContent xmlns:mc="http://schemas.openxmlformats.org/markup-compatibility/2006">
      <mc:Choice Requires="x14">
        <control shapeId="22530" r:id="rId6" name="CommandButton1">
          <controlPr defaultSize="0" autoLine="0" r:id="rId7">
            <anchor moveWithCells="1">
              <from>
                <xdr:col>1</xdr:col>
                <xdr:colOff>657225</xdr:colOff>
                <xdr:row>0</xdr:row>
                <xdr:rowOff>0</xdr:rowOff>
              </from>
              <to>
                <xdr:col>1</xdr:col>
                <xdr:colOff>1857375</xdr:colOff>
                <xdr:row>1</xdr:row>
                <xdr:rowOff>114300</xdr:rowOff>
              </to>
            </anchor>
          </controlPr>
        </control>
      </mc:Choice>
      <mc:Fallback>
        <control shapeId="22530" r:id="rId6" name="CommandButton1"/>
      </mc:Fallback>
    </mc:AlternateContent>
    <mc:AlternateContent xmlns:mc="http://schemas.openxmlformats.org/markup-compatibility/2006">
      <mc:Choice Requires="x14">
        <control shapeId="22531" r:id="rId8" name="CommandButton2">
          <controlPr defaultSize="0" autoLine="0" r:id="rId9">
            <anchor moveWithCells="1">
              <from>
                <xdr:col>0</xdr:col>
                <xdr:colOff>1362075</xdr:colOff>
                <xdr:row>0</xdr:row>
                <xdr:rowOff>9525</xdr:rowOff>
              </from>
              <to>
                <xdr:col>1</xdr:col>
                <xdr:colOff>523875</xdr:colOff>
                <xdr:row>1</xdr:row>
                <xdr:rowOff>123825</xdr:rowOff>
              </to>
            </anchor>
          </controlPr>
        </control>
      </mc:Choice>
      <mc:Fallback>
        <control shapeId="22531" r:id="rId8" name="CommandButton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Dropdown!$H$2:$H$13</xm:f>
          </x14:formula1>
          <xm:sqref>C47:H49 C70:H70</xm:sqref>
        </x14:dataValidation>
        <x14:dataValidation type="list" allowBlank="1" showInputMessage="1" showErrorMessage="1">
          <x14:formula1>
            <xm:f>Dropdown!$I$2:$I$5</xm:f>
          </x14:formula1>
          <xm:sqref>G95:H96 G109:H110 G102:H103 G133:H134 G126:H127 G140:H141 G164:H165 G157:H158 G171:H172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G100"/>
  <sheetViews>
    <sheetView showGridLines="0" workbookViewId="0">
      <pane xSplit="7" ySplit="4" topLeftCell="H5" activePane="bottomRight" state="frozen"/>
      <selection activeCell="C156" sqref="C156"/>
      <selection pane="topRight" activeCell="C156" sqref="C156"/>
      <selection pane="bottomLeft" activeCell="C156" sqref="C156"/>
      <selection pane="bottomRight" activeCell="N12" sqref="N12"/>
    </sheetView>
  </sheetViews>
  <sheetFormatPr defaultRowHeight="15" x14ac:dyDescent="0.25"/>
  <cols>
    <col min="1" max="4" width="20.7109375" customWidth="1"/>
    <col min="5" max="6" width="30.7109375" customWidth="1"/>
    <col min="7" max="7" width="20.7109375" customWidth="1"/>
  </cols>
  <sheetData>
    <row r="1" spans="1:7" x14ac:dyDescent="0.25">
      <c r="A1" t="s">
        <v>767</v>
      </c>
    </row>
    <row r="3" spans="1:7" x14ac:dyDescent="0.25">
      <c r="A3" s="1058" t="s">
        <v>449</v>
      </c>
      <c r="B3" s="1051" t="s">
        <v>450</v>
      </c>
      <c r="C3" s="1051" t="s">
        <v>451</v>
      </c>
      <c r="D3" s="1051" t="s">
        <v>701</v>
      </c>
      <c r="E3" s="1051" t="s">
        <v>655</v>
      </c>
      <c r="F3" s="1051" t="s">
        <v>646</v>
      </c>
      <c r="G3" s="1051" t="s">
        <v>702</v>
      </c>
    </row>
    <row r="4" spans="1:7" x14ac:dyDescent="0.25">
      <c r="A4" s="1058"/>
      <c r="B4" s="1051"/>
      <c r="C4" s="1051"/>
      <c r="D4" s="1051"/>
      <c r="E4" s="1051"/>
      <c r="F4" s="1051"/>
      <c r="G4" s="1051"/>
    </row>
    <row r="5" spans="1:7" x14ac:dyDescent="0.25">
      <c r="A5" s="1052" t="str">
        <f>'FCR 1.02 (WP)'!A99</f>
        <v>N/A
No IUC in the control</v>
      </c>
      <c r="B5" s="1052" t="str">
        <f>'FCR 1.02 (WP)'!B99</f>
        <v>System Generated</v>
      </c>
      <c r="C5" s="1053" t="s">
        <v>103</v>
      </c>
      <c r="D5" s="1054"/>
      <c r="E5" s="1054"/>
      <c r="F5" s="1054"/>
      <c r="G5" s="1057" t="s">
        <v>281</v>
      </c>
    </row>
    <row r="6" spans="1:7" x14ac:dyDescent="0.25">
      <c r="A6" s="1052"/>
      <c r="B6" s="1052"/>
      <c r="C6" s="1053"/>
      <c r="D6" s="1055"/>
      <c r="E6" s="1055"/>
      <c r="F6" s="1055"/>
      <c r="G6" s="1057"/>
    </row>
    <row r="7" spans="1:7" x14ac:dyDescent="0.25">
      <c r="A7" s="1052"/>
      <c r="B7" s="1052"/>
      <c r="C7" s="1053"/>
      <c r="D7" s="1055"/>
      <c r="E7" s="1055"/>
      <c r="F7" s="1055"/>
      <c r="G7" s="1057"/>
    </row>
    <row r="8" spans="1:7" x14ac:dyDescent="0.25">
      <c r="A8" s="1052"/>
      <c r="B8" s="1052"/>
      <c r="C8" s="1053"/>
      <c r="D8" s="1056"/>
      <c r="E8" s="1056"/>
      <c r="F8" s="1056"/>
      <c r="G8" s="1057"/>
    </row>
    <row r="9" spans="1:7" x14ac:dyDescent="0.25">
      <c r="A9" s="1052" t="str">
        <f>'FCR 1.02 (WP)'!A130</f>
        <v>N/A
No IUC in the control</v>
      </c>
      <c r="B9" s="1052" t="str">
        <f>'FCR 1.02 (WP)'!B130</f>
        <v>Non System Generated</v>
      </c>
      <c r="C9" s="1053" t="s">
        <v>103</v>
      </c>
      <c r="D9" s="1054"/>
      <c r="E9" s="1054"/>
      <c r="F9" s="1054"/>
      <c r="G9" s="1057" t="s">
        <v>281</v>
      </c>
    </row>
    <row r="10" spans="1:7" x14ac:dyDescent="0.25">
      <c r="A10" s="1052"/>
      <c r="B10" s="1052"/>
      <c r="C10" s="1053"/>
      <c r="D10" s="1055"/>
      <c r="E10" s="1055"/>
      <c r="F10" s="1055"/>
      <c r="G10" s="1057"/>
    </row>
    <row r="11" spans="1:7" x14ac:dyDescent="0.25">
      <c r="A11" s="1052"/>
      <c r="B11" s="1052"/>
      <c r="C11" s="1053"/>
      <c r="D11" s="1055"/>
      <c r="E11" s="1055"/>
      <c r="F11" s="1055"/>
      <c r="G11" s="1057"/>
    </row>
    <row r="12" spans="1:7" x14ac:dyDescent="0.25">
      <c r="A12" s="1052"/>
      <c r="B12" s="1052"/>
      <c r="C12" s="1053"/>
      <c r="D12" s="1056"/>
      <c r="E12" s="1056"/>
      <c r="F12" s="1056"/>
      <c r="G12" s="1057"/>
    </row>
    <row r="13" spans="1:7" x14ac:dyDescent="0.25">
      <c r="A13" s="1052" t="str">
        <f>'FCR 2.05 (WP)'!A274</f>
        <v>N/A
No IUC in the control</v>
      </c>
      <c r="B13" s="1059" t="str">
        <f>'FCR 2.05 (WP)'!B274</f>
        <v>System Generated</v>
      </c>
      <c r="C13" s="1053" t="s">
        <v>113</v>
      </c>
      <c r="D13" s="1054"/>
      <c r="E13" s="1054"/>
      <c r="F13" s="1054"/>
      <c r="G13" s="1057" t="s">
        <v>281</v>
      </c>
    </row>
    <row r="14" spans="1:7" x14ac:dyDescent="0.25">
      <c r="A14" s="1052"/>
      <c r="B14" s="1059"/>
      <c r="C14" s="1053"/>
      <c r="D14" s="1055"/>
      <c r="E14" s="1055"/>
      <c r="F14" s="1055"/>
      <c r="G14" s="1057"/>
    </row>
    <row r="15" spans="1:7" x14ac:dyDescent="0.25">
      <c r="A15" s="1052"/>
      <c r="B15" s="1052"/>
      <c r="C15" s="1053"/>
      <c r="D15" s="1055"/>
      <c r="E15" s="1055"/>
      <c r="F15" s="1055"/>
      <c r="G15" s="1057"/>
    </row>
    <row r="16" spans="1:7" x14ac:dyDescent="0.25">
      <c r="A16" s="1052"/>
      <c r="B16" s="1052"/>
      <c r="C16" s="1053"/>
      <c r="D16" s="1056"/>
      <c r="E16" s="1056"/>
      <c r="F16" s="1056"/>
      <c r="G16" s="1057"/>
    </row>
    <row r="17" spans="1:7" x14ac:dyDescent="0.25">
      <c r="A17" s="1052" t="str">
        <f>'FCR 2.05 (WP)'!A305</f>
        <v>N/A
No IUC in the control</v>
      </c>
      <c r="B17" s="1059" t="str">
        <f>'FCR 2.05 (WP)'!B305</f>
        <v>Non System Generated</v>
      </c>
      <c r="C17" s="1053" t="s">
        <v>113</v>
      </c>
      <c r="D17" s="1054"/>
      <c r="E17" s="1054"/>
      <c r="F17" s="1054"/>
      <c r="G17" s="1057" t="s">
        <v>281</v>
      </c>
    </row>
    <row r="18" spans="1:7" x14ac:dyDescent="0.25">
      <c r="A18" s="1052"/>
      <c r="B18" s="1059"/>
      <c r="C18" s="1053"/>
      <c r="D18" s="1055"/>
      <c r="E18" s="1055"/>
      <c r="F18" s="1055"/>
      <c r="G18" s="1057"/>
    </row>
    <row r="19" spans="1:7" x14ac:dyDescent="0.25">
      <c r="A19" s="1052"/>
      <c r="B19" s="1052"/>
      <c r="C19" s="1053"/>
      <c r="D19" s="1055"/>
      <c r="E19" s="1055"/>
      <c r="F19" s="1055"/>
      <c r="G19" s="1057"/>
    </row>
    <row r="20" spans="1:7" x14ac:dyDescent="0.25">
      <c r="A20" s="1052"/>
      <c r="B20" s="1052"/>
      <c r="C20" s="1053"/>
      <c r="D20" s="1056"/>
      <c r="E20" s="1056"/>
      <c r="F20" s="1056"/>
      <c r="G20" s="1057"/>
    </row>
    <row r="21" spans="1:7" x14ac:dyDescent="0.25">
      <c r="A21" s="1063" t="str">
        <f>'FCR 2.09 (WP)'!A94</f>
        <v>Journal Entry View</v>
      </c>
      <c r="B21" s="1064" t="str">
        <f>'FCR 2.09 (WP)'!B94</f>
        <v>System Generated</v>
      </c>
      <c r="C21" s="1065" t="str">
        <f>'FCR 2.09 (WP)'!C94</f>
        <v>FCR 2.09</v>
      </c>
      <c r="D21" s="1060" t="s">
        <v>590</v>
      </c>
      <c r="E21" s="1060" t="s">
        <v>431</v>
      </c>
      <c r="F21" s="1060" t="s">
        <v>336</v>
      </c>
      <c r="G21" s="1057" t="s">
        <v>281</v>
      </c>
    </row>
    <row r="22" spans="1:7" x14ac:dyDescent="0.25">
      <c r="A22" s="1063"/>
      <c r="B22" s="1064"/>
      <c r="C22" s="1065"/>
      <c r="D22" s="1061"/>
      <c r="E22" s="1061"/>
      <c r="F22" s="1061"/>
      <c r="G22" s="1057"/>
    </row>
    <row r="23" spans="1:7" x14ac:dyDescent="0.25">
      <c r="A23" s="1063"/>
      <c r="B23" s="1063"/>
      <c r="C23" s="1065"/>
      <c r="D23" s="1061"/>
      <c r="E23" s="1061"/>
      <c r="F23" s="1061"/>
      <c r="G23" s="1057"/>
    </row>
    <row r="24" spans="1:7" x14ac:dyDescent="0.25">
      <c r="A24" s="1063"/>
      <c r="B24" s="1063"/>
      <c r="C24" s="1065"/>
      <c r="D24" s="1062"/>
      <c r="E24" s="1062"/>
      <c r="F24" s="1062"/>
      <c r="G24" s="1057"/>
    </row>
    <row r="25" spans="1:7" x14ac:dyDescent="0.25">
      <c r="A25" s="1063" t="str">
        <f>'FCR 3.04 (WP)'!A81</f>
        <v>Accrualify Invoiced not Received List</v>
      </c>
      <c r="B25" s="1063" t="str">
        <f>'FCR 3.04 (WP)'!B81</f>
        <v>System Generated</v>
      </c>
      <c r="C25" s="1065" t="str">
        <f>'FCR 3.04 (WP)'!C81</f>
        <v>FCR 3.04</v>
      </c>
      <c r="D25" s="1060" t="s">
        <v>726</v>
      </c>
      <c r="E25" s="1060" t="s">
        <v>727</v>
      </c>
      <c r="F25" s="1060" t="s">
        <v>336</v>
      </c>
      <c r="G25" s="1057" t="s">
        <v>281</v>
      </c>
    </row>
    <row r="26" spans="1:7" x14ac:dyDescent="0.25">
      <c r="A26" s="1063"/>
      <c r="B26" s="1063"/>
      <c r="C26" s="1065"/>
      <c r="D26" s="1061"/>
      <c r="E26" s="1061"/>
      <c r="F26" s="1061"/>
      <c r="G26" s="1057"/>
    </row>
    <row r="27" spans="1:7" x14ac:dyDescent="0.25">
      <c r="A27" s="1063"/>
      <c r="B27" s="1063"/>
      <c r="C27" s="1065"/>
      <c r="D27" s="1061"/>
      <c r="E27" s="1061"/>
      <c r="F27" s="1061"/>
      <c r="G27" s="1057"/>
    </row>
    <row r="28" spans="1:7" x14ac:dyDescent="0.25">
      <c r="A28" s="1063"/>
      <c r="B28" s="1063"/>
      <c r="C28" s="1065"/>
      <c r="D28" s="1062"/>
      <c r="E28" s="1062"/>
      <c r="F28" s="1062"/>
      <c r="G28" s="1057"/>
    </row>
    <row r="29" spans="1:7" x14ac:dyDescent="0.25">
      <c r="A29" s="1063" t="str">
        <f>'FCR 3.09 (WP)'!A189</f>
        <v>Concur accrual report</v>
      </c>
      <c r="B29" s="1063" t="str">
        <f>'FCR 3.09 (WP)'!B189</f>
        <v>System Generated</v>
      </c>
      <c r="C29" s="1065" t="str">
        <f>'FCR 3.09 (WP)'!C189</f>
        <v>FCR 3.09</v>
      </c>
      <c r="D29" s="1060" t="s">
        <v>590</v>
      </c>
      <c r="E29" s="1060" t="s">
        <v>728</v>
      </c>
      <c r="F29" s="1060" t="s">
        <v>729</v>
      </c>
      <c r="G29" s="1066" t="s">
        <v>281</v>
      </c>
    </row>
    <row r="30" spans="1:7" x14ac:dyDescent="0.25">
      <c r="A30" s="1063"/>
      <c r="B30" s="1063"/>
      <c r="C30" s="1065"/>
      <c r="D30" s="1061"/>
      <c r="E30" s="1061"/>
      <c r="F30" s="1061"/>
      <c r="G30" s="1067"/>
    </row>
    <row r="31" spans="1:7" x14ac:dyDescent="0.25">
      <c r="A31" s="1063"/>
      <c r="B31" s="1063"/>
      <c r="C31" s="1065"/>
      <c r="D31" s="1061"/>
      <c r="E31" s="1061"/>
      <c r="F31" s="1061"/>
      <c r="G31" s="1067"/>
    </row>
    <row r="32" spans="1:7" x14ac:dyDescent="0.25">
      <c r="A32" s="1063"/>
      <c r="B32" s="1063"/>
      <c r="C32" s="1065"/>
      <c r="D32" s="1062"/>
      <c r="E32" s="1062"/>
      <c r="F32" s="1062"/>
      <c r="G32" s="1068"/>
    </row>
    <row r="33" spans="1:7" x14ac:dyDescent="0.25">
      <c r="A33" s="1063" t="str">
        <f>'FCR 3.09 (WP)'!A220</f>
        <v>Transgroup Listing</v>
      </c>
      <c r="B33" s="1052" t="str">
        <f>'FCR 3.09 (WP)'!B220</f>
        <v>System Generated</v>
      </c>
      <c r="C33" s="1065" t="str">
        <f>'FCR 3.09 (WP)'!C220</f>
        <v>FCR 3.09</v>
      </c>
      <c r="D33" s="1060" t="s">
        <v>590</v>
      </c>
      <c r="E33" s="1060" t="s">
        <v>727</v>
      </c>
      <c r="F33" s="1060" t="s">
        <v>729</v>
      </c>
      <c r="G33" s="1066" t="s">
        <v>281</v>
      </c>
    </row>
    <row r="34" spans="1:7" x14ac:dyDescent="0.25">
      <c r="A34" s="1063"/>
      <c r="B34" s="1052"/>
      <c r="C34" s="1065"/>
      <c r="D34" s="1061"/>
      <c r="E34" s="1061"/>
      <c r="F34" s="1061"/>
      <c r="G34" s="1067"/>
    </row>
    <row r="35" spans="1:7" x14ac:dyDescent="0.25">
      <c r="A35" s="1063"/>
      <c r="B35" s="1052"/>
      <c r="C35" s="1065"/>
      <c r="D35" s="1061"/>
      <c r="E35" s="1061"/>
      <c r="F35" s="1061"/>
      <c r="G35" s="1067"/>
    </row>
    <row r="36" spans="1:7" x14ac:dyDescent="0.25">
      <c r="A36" s="1063"/>
      <c r="B36" s="1052"/>
      <c r="C36" s="1065"/>
      <c r="D36" s="1062"/>
      <c r="E36" s="1062"/>
      <c r="F36" s="1062"/>
      <c r="G36" s="1068"/>
    </row>
    <row r="37" spans="1:7" x14ac:dyDescent="0.25">
      <c r="A37" s="1063" t="str">
        <f>'FCR 3.09 (WP)'!A251</f>
        <v>20100 Accrued Liabilities</v>
      </c>
      <c r="B37" s="1063" t="str">
        <f>'FCR 3.09 (WP)'!B251</f>
        <v>Non System Generated</v>
      </c>
      <c r="C37" s="1065" t="str">
        <f>'FCR 3.09 (WP)'!C251</f>
        <v>FCR 3.09</v>
      </c>
      <c r="D37" s="1060" t="s">
        <v>590</v>
      </c>
      <c r="E37" s="1060" t="s">
        <v>728</v>
      </c>
      <c r="F37" s="1060" t="s">
        <v>729</v>
      </c>
      <c r="G37" s="1066" t="s">
        <v>281</v>
      </c>
    </row>
    <row r="38" spans="1:7" x14ac:dyDescent="0.25">
      <c r="A38" s="1063"/>
      <c r="B38" s="1063"/>
      <c r="C38" s="1065"/>
      <c r="D38" s="1061"/>
      <c r="E38" s="1061"/>
      <c r="F38" s="1061"/>
      <c r="G38" s="1067"/>
    </row>
    <row r="39" spans="1:7" x14ac:dyDescent="0.25">
      <c r="A39" s="1063"/>
      <c r="B39" s="1063"/>
      <c r="C39" s="1065"/>
      <c r="D39" s="1061"/>
      <c r="E39" s="1061"/>
      <c r="F39" s="1061"/>
      <c r="G39" s="1067"/>
    </row>
    <row r="40" spans="1:7" x14ac:dyDescent="0.25">
      <c r="A40" s="1063"/>
      <c r="B40" s="1063"/>
      <c r="C40" s="1065"/>
      <c r="D40" s="1062"/>
      <c r="E40" s="1062"/>
      <c r="F40" s="1062"/>
      <c r="G40" s="1068"/>
    </row>
    <row r="41" spans="1:7" x14ac:dyDescent="0.25">
      <c r="A41" s="1063" t="str">
        <f>'FCR 3.12 (WP)'!A111</f>
        <v>Subsequent Invoice Log</v>
      </c>
      <c r="B41" s="1063" t="str">
        <f>'FCR 3.12 (WP)'!B111</f>
        <v>Non System Generated</v>
      </c>
      <c r="C41" s="1065" t="str">
        <f>'FCR 3.12 (WP)'!C111</f>
        <v>FCR 3.12</v>
      </c>
      <c r="D41" s="1065" t="s">
        <v>141</v>
      </c>
      <c r="E41" s="1060" t="s">
        <v>729</v>
      </c>
      <c r="F41" s="1060" t="s">
        <v>431</v>
      </c>
      <c r="G41" s="1066" t="s">
        <v>281</v>
      </c>
    </row>
    <row r="42" spans="1:7" x14ac:dyDescent="0.25">
      <c r="A42" s="1063"/>
      <c r="B42" s="1063"/>
      <c r="C42" s="1065"/>
      <c r="D42" s="1065"/>
      <c r="E42" s="1061"/>
      <c r="F42" s="1061"/>
      <c r="G42" s="1067"/>
    </row>
    <row r="43" spans="1:7" x14ac:dyDescent="0.25">
      <c r="A43" s="1063"/>
      <c r="B43" s="1063"/>
      <c r="C43" s="1065"/>
      <c r="D43" s="1065"/>
      <c r="E43" s="1061"/>
      <c r="F43" s="1061"/>
      <c r="G43" s="1067"/>
    </row>
    <row r="44" spans="1:7" x14ac:dyDescent="0.25">
      <c r="A44" s="1063"/>
      <c r="B44" s="1063"/>
      <c r="C44" s="1065"/>
      <c r="D44" s="1065"/>
      <c r="E44" s="1062"/>
      <c r="F44" s="1062"/>
      <c r="G44" s="1068"/>
    </row>
    <row r="45" spans="1:7" x14ac:dyDescent="0.25">
      <c r="A45" s="1063" t="str">
        <f>'FCR 4.02 (WP)'!A255</f>
        <v>Reconciliation workbooks</v>
      </c>
      <c r="B45" s="1063" t="str">
        <f>'FCR 4.02 (WP)'!B255</f>
        <v>Non System Generated</v>
      </c>
      <c r="C45" s="1065" t="str">
        <f>'FCR 4.02 (WP)'!C255</f>
        <v>FCR 4.02</v>
      </c>
      <c r="D45" s="1060" t="s">
        <v>590</v>
      </c>
      <c r="E45" s="1060" t="s">
        <v>730</v>
      </c>
      <c r="F45" s="1060" t="s">
        <v>431</v>
      </c>
      <c r="G45" s="1066" t="s">
        <v>281</v>
      </c>
    </row>
    <row r="46" spans="1:7" x14ac:dyDescent="0.25">
      <c r="A46" s="1063"/>
      <c r="B46" s="1063"/>
      <c r="C46" s="1065"/>
      <c r="D46" s="1061"/>
      <c r="E46" s="1061"/>
      <c r="F46" s="1061"/>
      <c r="G46" s="1067"/>
    </row>
    <row r="47" spans="1:7" x14ac:dyDescent="0.25">
      <c r="A47" s="1063"/>
      <c r="B47" s="1063"/>
      <c r="C47" s="1065"/>
      <c r="D47" s="1061"/>
      <c r="E47" s="1061"/>
      <c r="F47" s="1061"/>
      <c r="G47" s="1067"/>
    </row>
    <row r="48" spans="1:7" x14ac:dyDescent="0.25">
      <c r="A48" s="1063"/>
      <c r="B48" s="1063"/>
      <c r="C48" s="1065"/>
      <c r="D48" s="1062"/>
      <c r="E48" s="1062"/>
      <c r="F48" s="1062"/>
      <c r="G48" s="1068"/>
    </row>
    <row r="49" spans="1:7" ht="15" customHeight="1" x14ac:dyDescent="0.25">
      <c r="A49" s="1063" t="str">
        <f>'FCR 5.05 (WP)'!A81</f>
        <v xml:space="preserve">TriNet Census </v>
      </c>
      <c r="B49" s="1063" t="str">
        <f>'FCR 5.05 (WP)'!B81</f>
        <v>System Generated</v>
      </c>
      <c r="C49" s="1065" t="str">
        <f>'FCR 5.05 (WP)'!C81</f>
        <v>FCR 5.05
ITGC 5.11</v>
      </c>
      <c r="D49" s="1054"/>
      <c r="E49" s="1060" t="s">
        <v>732</v>
      </c>
      <c r="F49" s="1060" t="s">
        <v>336</v>
      </c>
      <c r="G49" s="1066" t="s">
        <v>281</v>
      </c>
    </row>
    <row r="50" spans="1:7" ht="15" customHeight="1" x14ac:dyDescent="0.25">
      <c r="A50" s="1063"/>
      <c r="B50" s="1063"/>
      <c r="C50" s="1065"/>
      <c r="D50" s="1055"/>
      <c r="E50" s="1061"/>
      <c r="F50" s="1061"/>
      <c r="G50" s="1067"/>
    </row>
    <row r="51" spans="1:7" x14ac:dyDescent="0.25">
      <c r="A51" s="1063"/>
      <c r="B51" s="1063"/>
      <c r="C51" s="1065"/>
      <c r="D51" s="1055"/>
      <c r="E51" s="1061"/>
      <c r="F51" s="1061"/>
      <c r="G51" s="1067"/>
    </row>
    <row r="52" spans="1:7" x14ac:dyDescent="0.25">
      <c r="A52" s="1063"/>
      <c r="B52" s="1063"/>
      <c r="C52" s="1065"/>
      <c r="D52" s="1056"/>
      <c r="E52" s="1062"/>
      <c r="F52" s="1062"/>
      <c r="G52" s="1068"/>
    </row>
    <row r="53" spans="1:7" x14ac:dyDescent="0.25">
      <c r="A53" s="1063" t="str">
        <f>'FCR 5.05 (WP)'!A112</f>
        <v>Global EE list</v>
      </c>
      <c r="B53" s="1063" t="str">
        <f>'FCR 5.05 (WP)'!B112</f>
        <v>System Generated</v>
      </c>
      <c r="C53" s="1065" t="str">
        <f>'FCR 5.05 (WP)'!C112</f>
        <v>FCR 5.05</v>
      </c>
      <c r="D53" s="1054"/>
      <c r="E53" s="1060" t="s">
        <v>732</v>
      </c>
      <c r="F53" s="1060" t="s">
        <v>336</v>
      </c>
      <c r="G53" s="1066" t="s">
        <v>281</v>
      </c>
    </row>
    <row r="54" spans="1:7" x14ac:dyDescent="0.25">
      <c r="A54" s="1063"/>
      <c r="B54" s="1063"/>
      <c r="C54" s="1065"/>
      <c r="D54" s="1055"/>
      <c r="E54" s="1061"/>
      <c r="F54" s="1061"/>
      <c r="G54" s="1067"/>
    </row>
    <row r="55" spans="1:7" x14ac:dyDescent="0.25">
      <c r="A55" s="1063"/>
      <c r="B55" s="1063"/>
      <c r="C55" s="1065"/>
      <c r="D55" s="1055"/>
      <c r="E55" s="1061"/>
      <c r="F55" s="1061"/>
      <c r="G55" s="1067"/>
    </row>
    <row r="56" spans="1:7" x14ac:dyDescent="0.25">
      <c r="A56" s="1063"/>
      <c r="B56" s="1063"/>
      <c r="C56" s="1065"/>
      <c r="D56" s="1056"/>
      <c r="E56" s="1062"/>
      <c r="F56" s="1062"/>
      <c r="G56" s="1068"/>
    </row>
    <row r="57" spans="1:7" x14ac:dyDescent="0.25">
      <c r="A57" s="1063" t="str">
        <f>'FCR 5.05 (WP)'!A143</f>
        <v>Facility Allocation work book</v>
      </c>
      <c r="B57" s="1063" t="str">
        <f>'FCR 5.05 (WP)'!B143</f>
        <v>Non System Generated</v>
      </c>
      <c r="C57" s="1065" t="str">
        <f>'FCR 5.05 (WP)'!C143</f>
        <v>FCR 5.05</v>
      </c>
      <c r="D57" s="1060" t="s">
        <v>590</v>
      </c>
      <c r="E57" s="1060" t="s">
        <v>729</v>
      </c>
      <c r="F57" s="1060" t="s">
        <v>431</v>
      </c>
      <c r="G57" s="1066" t="s">
        <v>281</v>
      </c>
    </row>
    <row r="58" spans="1:7" x14ac:dyDescent="0.25">
      <c r="A58" s="1063"/>
      <c r="B58" s="1063"/>
      <c r="C58" s="1065"/>
      <c r="D58" s="1061"/>
      <c r="E58" s="1061"/>
      <c r="F58" s="1061"/>
      <c r="G58" s="1067"/>
    </row>
    <row r="59" spans="1:7" x14ac:dyDescent="0.25">
      <c r="A59" s="1063"/>
      <c r="B59" s="1063"/>
      <c r="C59" s="1065"/>
      <c r="D59" s="1061"/>
      <c r="E59" s="1061"/>
      <c r="F59" s="1061"/>
      <c r="G59" s="1067"/>
    </row>
    <row r="60" spans="1:7" x14ac:dyDescent="0.25">
      <c r="A60" s="1063"/>
      <c r="B60" s="1063"/>
      <c r="C60" s="1065"/>
      <c r="D60" s="1062"/>
      <c r="E60" s="1062"/>
      <c r="F60" s="1062"/>
      <c r="G60" s="1068"/>
    </row>
    <row r="61" spans="1:7" ht="15" customHeight="1" x14ac:dyDescent="0.25">
      <c r="A61" s="1063" t="str">
        <f>'FCR 4.02 (WP)'!A224</f>
        <v>Trial Balance</v>
      </c>
      <c r="B61" s="1063" t="str">
        <f>'FCR 4.02 (WP)'!B224</f>
        <v>System Generated</v>
      </c>
      <c r="C61" s="1065" t="str">
        <f>'FCR 4.02 (WP)'!C224</f>
        <v>FCR 4.04</v>
      </c>
      <c r="D61" s="1065" t="s">
        <v>735</v>
      </c>
      <c r="E61" s="1060" t="s">
        <v>431</v>
      </c>
      <c r="F61" s="1060" t="s">
        <v>336</v>
      </c>
      <c r="G61" s="1066" t="s">
        <v>281</v>
      </c>
    </row>
    <row r="62" spans="1:7" ht="15" customHeight="1" x14ac:dyDescent="0.25">
      <c r="A62" s="1063"/>
      <c r="B62" s="1063"/>
      <c r="C62" s="1065"/>
      <c r="D62" s="1065"/>
      <c r="E62" s="1061"/>
      <c r="F62" s="1061"/>
      <c r="G62" s="1067"/>
    </row>
    <row r="63" spans="1:7" x14ac:dyDescent="0.25">
      <c r="A63" s="1063"/>
      <c r="B63" s="1063"/>
      <c r="C63" s="1065"/>
      <c r="D63" s="1065"/>
      <c r="E63" s="1061"/>
      <c r="F63" s="1061"/>
      <c r="G63" s="1067"/>
    </row>
    <row r="64" spans="1:7" x14ac:dyDescent="0.25">
      <c r="A64" s="1063"/>
      <c r="B64" s="1063"/>
      <c r="C64" s="1065"/>
      <c r="D64" s="1065"/>
      <c r="E64" s="1062"/>
      <c r="F64" s="1062"/>
      <c r="G64" s="1068"/>
    </row>
    <row r="65" spans="1:7" ht="15" customHeight="1" x14ac:dyDescent="0.25">
      <c r="A65" s="1063" t="str">
        <f>'FCR 5.10 (WP)'!A82</f>
        <v>Balance Sheet</v>
      </c>
      <c r="B65" s="1063" t="str">
        <f>'FCR 5.10 (WP)'!B82</f>
        <v>System Generated</v>
      </c>
      <c r="C65" s="1069" t="str">
        <f>'FCR 5.10 (WP)'!C82</f>
        <v>ITGC 5.11</v>
      </c>
      <c r="D65" s="1054" t="s">
        <v>734</v>
      </c>
      <c r="E65" s="1060" t="s">
        <v>729</v>
      </c>
      <c r="F65" s="1060" t="s">
        <v>431</v>
      </c>
      <c r="G65" s="1066" t="s">
        <v>281</v>
      </c>
    </row>
    <row r="66" spans="1:7" ht="15" customHeight="1" x14ac:dyDescent="0.25">
      <c r="A66" s="1063"/>
      <c r="B66" s="1063"/>
      <c r="C66" s="1069"/>
      <c r="D66" s="1055"/>
      <c r="E66" s="1061"/>
      <c r="F66" s="1061"/>
      <c r="G66" s="1067"/>
    </row>
    <row r="67" spans="1:7" x14ac:dyDescent="0.25">
      <c r="A67" s="1063"/>
      <c r="B67" s="1063"/>
      <c r="C67" s="1069"/>
      <c r="D67" s="1055"/>
      <c r="E67" s="1061"/>
      <c r="F67" s="1061"/>
      <c r="G67" s="1067"/>
    </row>
    <row r="68" spans="1:7" x14ac:dyDescent="0.25">
      <c r="A68" s="1063"/>
      <c r="B68" s="1063"/>
      <c r="C68" s="1069"/>
      <c r="D68" s="1056"/>
      <c r="E68" s="1062"/>
      <c r="F68" s="1062"/>
      <c r="G68" s="1068"/>
    </row>
    <row r="69" spans="1:7" x14ac:dyDescent="0.25">
      <c r="A69" s="1063" t="str">
        <f>'FCR 5.10 (WP)'!A113</f>
        <v>P&amp;L</v>
      </c>
      <c r="B69" s="1063" t="str">
        <f>'FCR 5.10 (WP)'!B113</f>
        <v>System Generated</v>
      </c>
      <c r="C69" s="1065" t="str">
        <f>'FCR 5.10 (WP)'!C113</f>
        <v>FCR 5.10
ITGC 5.11</v>
      </c>
      <c r="D69" s="1054" t="s">
        <v>734</v>
      </c>
      <c r="E69" s="1060" t="s">
        <v>729</v>
      </c>
      <c r="F69" s="1060" t="s">
        <v>431</v>
      </c>
      <c r="G69" s="1066" t="s">
        <v>281</v>
      </c>
    </row>
    <row r="70" spans="1:7" x14ac:dyDescent="0.25">
      <c r="A70" s="1063"/>
      <c r="B70" s="1063"/>
      <c r="C70" s="1065"/>
      <c r="D70" s="1055"/>
      <c r="E70" s="1061"/>
      <c r="F70" s="1061"/>
      <c r="G70" s="1067"/>
    </row>
    <row r="71" spans="1:7" x14ac:dyDescent="0.25">
      <c r="A71" s="1063"/>
      <c r="B71" s="1063"/>
      <c r="C71" s="1065"/>
      <c r="D71" s="1055"/>
      <c r="E71" s="1061"/>
      <c r="F71" s="1061"/>
      <c r="G71" s="1067"/>
    </row>
    <row r="72" spans="1:7" x14ac:dyDescent="0.25">
      <c r="A72" s="1063"/>
      <c r="B72" s="1063"/>
      <c r="C72" s="1065"/>
      <c r="D72" s="1056"/>
      <c r="E72" s="1062"/>
      <c r="F72" s="1062"/>
      <c r="G72" s="1068"/>
    </row>
    <row r="73" spans="1:7" x14ac:dyDescent="0.25">
      <c r="A73" s="1063" t="str">
        <f>'FCR 5.10 (WP)'!A144</f>
        <v>Balance Sheet &amp; P&amp;L Flux worksheet</v>
      </c>
      <c r="B73" s="1063" t="str">
        <f>'FCR 5.10 (WP)'!B144</f>
        <v>Non System Generated</v>
      </c>
      <c r="C73" s="1065" t="str">
        <f>'FCR 5.10 (WP)'!C144</f>
        <v>FCR 5.10</v>
      </c>
      <c r="D73" s="1060" t="s">
        <v>590</v>
      </c>
      <c r="E73" s="1060" t="s">
        <v>431</v>
      </c>
      <c r="F73" s="1060" t="s">
        <v>733</v>
      </c>
      <c r="G73" s="1066" t="s">
        <v>281</v>
      </c>
    </row>
    <row r="74" spans="1:7" x14ac:dyDescent="0.25">
      <c r="A74" s="1063"/>
      <c r="B74" s="1063"/>
      <c r="C74" s="1065"/>
      <c r="D74" s="1061"/>
      <c r="E74" s="1061"/>
      <c r="F74" s="1061"/>
      <c r="G74" s="1067"/>
    </row>
    <row r="75" spans="1:7" x14ac:dyDescent="0.25">
      <c r="A75" s="1063"/>
      <c r="B75" s="1063"/>
      <c r="C75" s="1065"/>
      <c r="D75" s="1061"/>
      <c r="E75" s="1061"/>
      <c r="F75" s="1061"/>
      <c r="G75" s="1067"/>
    </row>
    <row r="76" spans="1:7" x14ac:dyDescent="0.25">
      <c r="A76" s="1063"/>
      <c r="B76" s="1063"/>
      <c r="C76" s="1065"/>
      <c r="D76" s="1062"/>
      <c r="E76" s="1062"/>
      <c r="F76" s="1062"/>
      <c r="G76" s="1068"/>
    </row>
    <row r="77" spans="1:7" ht="15" customHeight="1" x14ac:dyDescent="0.25">
      <c r="A77" s="1063" t="str">
        <f>'FCR 6.07 (WP)'!A170</f>
        <v>SCF workbook</v>
      </c>
      <c r="B77" s="1063" t="str">
        <f>'FCR 6.07 (WP)'!B170</f>
        <v>Non System Generated</v>
      </c>
      <c r="C77" s="1065" t="str">
        <f>'FCR 6.07 (WP)'!C170</f>
        <v>FCR 6.07</v>
      </c>
      <c r="D77" s="1060" t="s">
        <v>590</v>
      </c>
      <c r="E77" s="1060" t="s">
        <v>736</v>
      </c>
      <c r="F77" s="1060" t="s">
        <v>431</v>
      </c>
      <c r="G77" s="1066" t="s">
        <v>281</v>
      </c>
    </row>
    <row r="78" spans="1:7" x14ac:dyDescent="0.25">
      <c r="A78" s="1063"/>
      <c r="B78" s="1063"/>
      <c r="C78" s="1065"/>
      <c r="D78" s="1061"/>
      <c r="E78" s="1061"/>
      <c r="F78" s="1061"/>
      <c r="G78" s="1067"/>
    </row>
    <row r="79" spans="1:7" x14ac:dyDescent="0.25">
      <c r="A79" s="1063"/>
      <c r="B79" s="1063"/>
      <c r="C79" s="1065"/>
      <c r="D79" s="1061"/>
      <c r="E79" s="1061"/>
      <c r="F79" s="1061"/>
      <c r="G79" s="1067"/>
    </row>
    <row r="80" spans="1:7" x14ac:dyDescent="0.25">
      <c r="A80" s="1063"/>
      <c r="B80" s="1063"/>
      <c r="C80" s="1065"/>
      <c r="D80" s="1062"/>
      <c r="E80" s="1062"/>
      <c r="F80" s="1062"/>
      <c r="G80" s="1068"/>
    </row>
    <row r="81" spans="1:7" x14ac:dyDescent="0.25">
      <c r="A81" s="1063" t="str">
        <f>'FCR 6.07 (WP)'!A175</f>
        <v>Asset Retirement Obligation Schedule</v>
      </c>
      <c r="B81" s="1063" t="str">
        <f>'FCR 6.07 (WP)'!B175</f>
        <v>Non System Generated</v>
      </c>
      <c r="C81" s="1052">
        <f>'FCR 6.07 (WP)'!C175</f>
        <v>0</v>
      </c>
      <c r="D81" s="1060" t="s">
        <v>206</v>
      </c>
      <c r="E81" s="1054"/>
      <c r="F81" s="1060" t="s">
        <v>431</v>
      </c>
      <c r="G81" s="1057" t="s">
        <v>281</v>
      </c>
    </row>
    <row r="82" spans="1:7" x14ac:dyDescent="0.25">
      <c r="A82" s="1063"/>
      <c r="B82" s="1063"/>
      <c r="C82" s="1052"/>
      <c r="D82" s="1061"/>
      <c r="E82" s="1055"/>
      <c r="F82" s="1061"/>
      <c r="G82" s="1057"/>
    </row>
    <row r="83" spans="1:7" x14ac:dyDescent="0.25">
      <c r="A83" s="1063"/>
      <c r="B83" s="1063"/>
      <c r="C83" s="1052"/>
      <c r="D83" s="1061"/>
      <c r="E83" s="1055"/>
      <c r="F83" s="1061"/>
      <c r="G83" s="1057"/>
    </row>
    <row r="84" spans="1:7" x14ac:dyDescent="0.25">
      <c r="A84" s="1063"/>
      <c r="B84" s="1063"/>
      <c r="C84" s="1052"/>
      <c r="D84" s="1062"/>
      <c r="E84" s="1056"/>
      <c r="F84" s="1062"/>
      <c r="G84" s="1057"/>
    </row>
    <row r="85" spans="1:7" x14ac:dyDescent="0.25">
      <c r="A85" s="1063" t="str">
        <f>'FCR 6.07 (WP)'!A180</f>
        <v>Warrants Fair Value Workbook</v>
      </c>
      <c r="B85" s="1063" t="str">
        <f>'FCR 6.07 (WP)'!B180</f>
        <v>Non System Generated</v>
      </c>
      <c r="C85" s="1065" t="str">
        <f>'FCR 6.07 (WP)'!C180</f>
        <v>TCM 6.04</v>
      </c>
      <c r="D85" s="1060" t="s">
        <v>742</v>
      </c>
      <c r="E85" s="1060" t="s">
        <v>736</v>
      </c>
      <c r="F85" s="1060" t="s">
        <v>431</v>
      </c>
      <c r="G85" s="1066" t="s">
        <v>281</v>
      </c>
    </row>
    <row r="86" spans="1:7" x14ac:dyDescent="0.25">
      <c r="A86" s="1063"/>
      <c r="B86" s="1063"/>
      <c r="C86" s="1065"/>
      <c r="D86" s="1061"/>
      <c r="E86" s="1061"/>
      <c r="F86" s="1061"/>
      <c r="G86" s="1067"/>
    </row>
    <row r="87" spans="1:7" x14ac:dyDescent="0.25">
      <c r="A87" s="1063"/>
      <c r="B87" s="1063"/>
      <c r="C87" s="1065"/>
      <c r="D87" s="1061"/>
      <c r="E87" s="1061"/>
      <c r="F87" s="1061"/>
      <c r="G87" s="1067"/>
    </row>
    <row r="88" spans="1:7" x14ac:dyDescent="0.25">
      <c r="A88" s="1063"/>
      <c r="B88" s="1063"/>
      <c r="C88" s="1065"/>
      <c r="D88" s="1062"/>
      <c r="E88" s="1062"/>
      <c r="F88" s="1062"/>
      <c r="G88" s="1068"/>
    </row>
    <row r="89" spans="1:7" x14ac:dyDescent="0.25">
      <c r="A89" s="1063" t="str">
        <f>'FCR 6.07 (WP)'!A190</f>
        <v>19700 21030 22300  Right of Use Asset and Lease Liability</v>
      </c>
      <c r="B89" s="1063" t="str">
        <f>'FCR 6.07 (WP)'!B190</f>
        <v>Non System Generated</v>
      </c>
      <c r="C89" s="1065" t="str">
        <f>'FCR 6.07 (WP)'!C190</f>
        <v>FA 5.03</v>
      </c>
      <c r="D89" s="1060" t="s">
        <v>206</v>
      </c>
      <c r="E89" s="1054"/>
      <c r="F89" s="1054"/>
      <c r="G89" s="1070"/>
    </row>
    <row r="90" spans="1:7" x14ac:dyDescent="0.25">
      <c r="A90" s="1063"/>
      <c r="B90" s="1063"/>
      <c r="C90" s="1065"/>
      <c r="D90" s="1061"/>
      <c r="E90" s="1055"/>
      <c r="F90" s="1055"/>
      <c r="G90" s="1071"/>
    </row>
    <row r="91" spans="1:7" x14ac:dyDescent="0.25">
      <c r="A91" s="1063"/>
      <c r="B91" s="1063"/>
      <c r="C91" s="1065"/>
      <c r="D91" s="1061"/>
      <c r="E91" s="1055"/>
      <c r="F91" s="1055"/>
      <c r="G91" s="1071"/>
    </row>
    <row r="92" spans="1:7" x14ac:dyDescent="0.25">
      <c r="A92" s="1063"/>
      <c r="B92" s="1063"/>
      <c r="C92" s="1065"/>
      <c r="D92" s="1062"/>
      <c r="E92" s="1056"/>
      <c r="F92" s="1056"/>
      <c r="G92" s="1072"/>
    </row>
    <row r="93" spans="1:7" x14ac:dyDescent="0.25">
      <c r="A93" s="1063" t="str">
        <f>'FCR 6.07 (WP)'!A195</f>
        <v>Face of Account workbook</v>
      </c>
      <c r="B93" s="1063" t="str">
        <f>'FCR 6.07 (WP)'!B195</f>
        <v>Non System Generated</v>
      </c>
      <c r="C93" s="1065" t="str">
        <f>'FCR 6.07 (WP)'!C195</f>
        <v>FCR 6.11</v>
      </c>
      <c r="D93" s="1065" t="s">
        <v>206</v>
      </c>
      <c r="E93" s="1060" t="s">
        <v>736</v>
      </c>
      <c r="F93" s="1060" t="s">
        <v>431</v>
      </c>
      <c r="G93" s="1066" t="s">
        <v>281</v>
      </c>
    </row>
    <row r="94" spans="1:7" x14ac:dyDescent="0.25">
      <c r="A94" s="1063"/>
      <c r="B94" s="1063"/>
      <c r="C94" s="1065"/>
      <c r="D94" s="1065"/>
      <c r="E94" s="1061"/>
      <c r="F94" s="1061"/>
      <c r="G94" s="1067"/>
    </row>
    <row r="95" spans="1:7" x14ac:dyDescent="0.25">
      <c r="A95" s="1063"/>
      <c r="B95" s="1063"/>
      <c r="C95" s="1065"/>
      <c r="D95" s="1065"/>
      <c r="E95" s="1061"/>
      <c r="F95" s="1061"/>
      <c r="G95" s="1067"/>
    </row>
    <row r="96" spans="1:7" x14ac:dyDescent="0.25">
      <c r="A96" s="1063"/>
      <c r="B96" s="1063"/>
      <c r="C96" s="1065"/>
      <c r="D96" s="1065"/>
      <c r="E96" s="1062"/>
      <c r="F96" s="1062"/>
      <c r="G96" s="1068"/>
    </row>
    <row r="97" spans="1:7" x14ac:dyDescent="0.25">
      <c r="A97" s="1063" t="str">
        <f>'FCR 6.07 (WP)'!A200</f>
        <v>Equity Rollforward</v>
      </c>
      <c r="B97" s="1063" t="str">
        <f>'FCR 6.07 (WP)'!B200</f>
        <v>Non System Generated</v>
      </c>
      <c r="C97" s="1065" t="str">
        <f>'FCR 6.07 (WP)'!C200</f>
        <v>ESA 5.01</v>
      </c>
      <c r="D97" s="1060" t="s">
        <v>742</v>
      </c>
      <c r="E97" s="1060" t="s">
        <v>736</v>
      </c>
      <c r="F97" s="1060" t="s">
        <v>431</v>
      </c>
      <c r="G97" s="1066" t="s">
        <v>281</v>
      </c>
    </row>
    <row r="98" spans="1:7" x14ac:dyDescent="0.25">
      <c r="A98" s="1063"/>
      <c r="B98" s="1063"/>
      <c r="C98" s="1065"/>
      <c r="D98" s="1061"/>
      <c r="E98" s="1061"/>
      <c r="F98" s="1061"/>
      <c r="G98" s="1067"/>
    </row>
    <row r="99" spans="1:7" x14ac:dyDescent="0.25">
      <c r="A99" s="1063"/>
      <c r="B99" s="1063"/>
      <c r="C99" s="1065"/>
      <c r="D99" s="1061"/>
      <c r="E99" s="1061"/>
      <c r="F99" s="1061"/>
      <c r="G99" s="1067"/>
    </row>
    <row r="100" spans="1:7" x14ac:dyDescent="0.25">
      <c r="A100" s="1063"/>
      <c r="B100" s="1063"/>
      <c r="C100" s="1065"/>
      <c r="D100" s="1062"/>
      <c r="E100" s="1062"/>
      <c r="F100" s="1062"/>
      <c r="G100" s="1068"/>
    </row>
  </sheetData>
  <sheetProtection algorithmName="SHA-512" hashValue="KsGRiF2jmEcbYOdaTv6tuSdvFjDKjDyZ3E+fWYoZfEhJwSdlIpjjTHs7oxDnbNfFmAvZU0KndBOE0S8czCN/Pg==" saltValue="U2fEt7hWmQogtte6d/6Z+A==" spinCount="100000" sheet="1" objects="1" scenarios="1"/>
  <mergeCells count="175">
    <mergeCell ref="C93:C96"/>
    <mergeCell ref="D93:D96"/>
    <mergeCell ref="E93:E96"/>
    <mergeCell ref="F93:F96"/>
    <mergeCell ref="G93:G96"/>
    <mergeCell ref="A89:A92"/>
    <mergeCell ref="B89:B92"/>
    <mergeCell ref="C89:C92"/>
    <mergeCell ref="D89:D92"/>
    <mergeCell ref="E89:E92"/>
    <mergeCell ref="F89:F92"/>
    <mergeCell ref="A97:A100"/>
    <mergeCell ref="B97:B100"/>
    <mergeCell ref="C97:C100"/>
    <mergeCell ref="G81:G84"/>
    <mergeCell ref="G85:G88"/>
    <mergeCell ref="A81:A84"/>
    <mergeCell ref="B81:B84"/>
    <mergeCell ref="C81:C84"/>
    <mergeCell ref="D81:D84"/>
    <mergeCell ref="E81:E84"/>
    <mergeCell ref="F81:F84"/>
    <mergeCell ref="D97:D100"/>
    <mergeCell ref="E97:E100"/>
    <mergeCell ref="F97:F100"/>
    <mergeCell ref="G97:G100"/>
    <mergeCell ref="A85:A88"/>
    <mergeCell ref="B85:B88"/>
    <mergeCell ref="C85:C88"/>
    <mergeCell ref="D85:D88"/>
    <mergeCell ref="E85:E88"/>
    <mergeCell ref="F85:F88"/>
    <mergeCell ref="G89:G92"/>
    <mergeCell ref="A93:A96"/>
    <mergeCell ref="B93:B96"/>
    <mergeCell ref="G73:G76"/>
    <mergeCell ref="A77:A80"/>
    <mergeCell ref="B77:B80"/>
    <mergeCell ref="C77:C80"/>
    <mergeCell ref="D77:D80"/>
    <mergeCell ref="E77:E80"/>
    <mergeCell ref="F77:F80"/>
    <mergeCell ref="G77:G80"/>
    <mergeCell ref="A73:A76"/>
    <mergeCell ref="B73:B76"/>
    <mergeCell ref="C73:C76"/>
    <mergeCell ref="D73:D76"/>
    <mergeCell ref="E73:E76"/>
    <mergeCell ref="F73:F76"/>
    <mergeCell ref="G65:G68"/>
    <mergeCell ref="A69:A72"/>
    <mergeCell ref="B69:B72"/>
    <mergeCell ref="C69:C72"/>
    <mergeCell ref="D69:D72"/>
    <mergeCell ref="E69:E72"/>
    <mergeCell ref="F69:F72"/>
    <mergeCell ref="G69:G72"/>
    <mergeCell ref="A65:A68"/>
    <mergeCell ref="B65:B68"/>
    <mergeCell ref="C65:C68"/>
    <mergeCell ref="D65:D68"/>
    <mergeCell ref="E65:E68"/>
    <mergeCell ref="F65:F68"/>
    <mergeCell ref="C45:C48"/>
    <mergeCell ref="D45:D48"/>
    <mergeCell ref="E45:E48"/>
    <mergeCell ref="F45:F48"/>
    <mergeCell ref="G53:G56"/>
    <mergeCell ref="A57:A60"/>
    <mergeCell ref="B57:B60"/>
    <mergeCell ref="C57:C60"/>
    <mergeCell ref="D57:D60"/>
    <mergeCell ref="E57:E60"/>
    <mergeCell ref="F57:F60"/>
    <mergeCell ref="G57:G60"/>
    <mergeCell ref="A53:A56"/>
    <mergeCell ref="B53:B56"/>
    <mergeCell ref="C53:C56"/>
    <mergeCell ref="D53:D56"/>
    <mergeCell ref="E53:E56"/>
    <mergeCell ref="F53:F56"/>
    <mergeCell ref="G41:G44"/>
    <mergeCell ref="A61:A64"/>
    <mergeCell ref="B61:B64"/>
    <mergeCell ref="C61:C64"/>
    <mergeCell ref="D61:D64"/>
    <mergeCell ref="E61:E64"/>
    <mergeCell ref="F61:F64"/>
    <mergeCell ref="G61:G64"/>
    <mergeCell ref="A41:A44"/>
    <mergeCell ref="B41:B44"/>
    <mergeCell ref="C41:C44"/>
    <mergeCell ref="D41:D44"/>
    <mergeCell ref="E41:E44"/>
    <mergeCell ref="F41:F44"/>
    <mergeCell ref="G45:G48"/>
    <mergeCell ref="A49:A52"/>
    <mergeCell ref="B49:B52"/>
    <mergeCell ref="C49:C52"/>
    <mergeCell ref="D49:D52"/>
    <mergeCell ref="E49:E52"/>
    <mergeCell ref="F49:F52"/>
    <mergeCell ref="G49:G52"/>
    <mergeCell ref="A45:A48"/>
    <mergeCell ref="B45:B48"/>
    <mergeCell ref="G33:G36"/>
    <mergeCell ref="A37:A40"/>
    <mergeCell ref="B37:B40"/>
    <mergeCell ref="C37:C40"/>
    <mergeCell ref="D37:D40"/>
    <mergeCell ref="E37:E40"/>
    <mergeCell ref="F37:F40"/>
    <mergeCell ref="G37:G40"/>
    <mergeCell ref="A33:A36"/>
    <mergeCell ref="B33:B36"/>
    <mergeCell ref="C33:C36"/>
    <mergeCell ref="D33:D36"/>
    <mergeCell ref="E33:E36"/>
    <mergeCell ref="F33:F36"/>
    <mergeCell ref="G25:G28"/>
    <mergeCell ref="A29:A32"/>
    <mergeCell ref="B29:B32"/>
    <mergeCell ref="C29:C32"/>
    <mergeCell ref="D29:D32"/>
    <mergeCell ref="E29:E32"/>
    <mergeCell ref="F29:F32"/>
    <mergeCell ref="G29:G32"/>
    <mergeCell ref="A25:A28"/>
    <mergeCell ref="B25:B28"/>
    <mergeCell ref="C25:C28"/>
    <mergeCell ref="D25:D28"/>
    <mergeCell ref="E25:E28"/>
    <mergeCell ref="F25:F28"/>
    <mergeCell ref="G17:G20"/>
    <mergeCell ref="D21:D24"/>
    <mergeCell ref="E21:E24"/>
    <mergeCell ref="F21:F24"/>
    <mergeCell ref="G21:G24"/>
    <mergeCell ref="A21:A24"/>
    <mergeCell ref="B21:B24"/>
    <mergeCell ref="C21:C24"/>
    <mergeCell ref="A17:A20"/>
    <mergeCell ref="B17:B20"/>
    <mergeCell ref="C17:C20"/>
    <mergeCell ref="D17:D20"/>
    <mergeCell ref="E17:E20"/>
    <mergeCell ref="F17:F20"/>
    <mergeCell ref="G9:G12"/>
    <mergeCell ref="A13:A16"/>
    <mergeCell ref="B13:B16"/>
    <mergeCell ref="C13:C16"/>
    <mergeCell ref="D13:D16"/>
    <mergeCell ref="E13:E16"/>
    <mergeCell ref="F13:F16"/>
    <mergeCell ref="G13:G16"/>
    <mergeCell ref="A9:A12"/>
    <mergeCell ref="B9:B12"/>
    <mergeCell ref="C9:C12"/>
    <mergeCell ref="D9:D12"/>
    <mergeCell ref="E9:E12"/>
    <mergeCell ref="F9:F12"/>
    <mergeCell ref="G3:G4"/>
    <mergeCell ref="A5:A8"/>
    <mergeCell ref="B5:B8"/>
    <mergeCell ref="C5:C8"/>
    <mergeCell ref="D5:D8"/>
    <mergeCell ref="E5:E8"/>
    <mergeCell ref="F5:F8"/>
    <mergeCell ref="G5:G8"/>
    <mergeCell ref="A3:A4"/>
    <mergeCell ref="B3:B4"/>
    <mergeCell ref="C3:C4"/>
    <mergeCell ref="D3:D4"/>
    <mergeCell ref="E3:E4"/>
    <mergeCell ref="F3:F4"/>
  </mergeCells>
  <conditionalFormatting sqref="G5:G8">
    <cfRule type="containsText" dxfId="47" priority="47" operator="containsText" text="Yes">
      <formula>NOT(ISERROR(SEARCH("Yes",G5)))</formula>
    </cfRule>
    <cfRule type="containsText" dxfId="46" priority="48" operator="containsText" text="No">
      <formula>NOT(ISERROR(SEARCH("No",G5)))</formula>
    </cfRule>
  </conditionalFormatting>
  <conditionalFormatting sqref="G9:G12">
    <cfRule type="containsText" dxfId="45" priority="45" operator="containsText" text="Yes">
      <formula>NOT(ISERROR(SEARCH("Yes",G9)))</formula>
    </cfRule>
    <cfRule type="containsText" dxfId="44" priority="46" operator="containsText" text="No">
      <formula>NOT(ISERROR(SEARCH("No",G9)))</formula>
    </cfRule>
  </conditionalFormatting>
  <conditionalFormatting sqref="G13:G16">
    <cfRule type="containsText" dxfId="43" priority="43" operator="containsText" text="Yes">
      <formula>NOT(ISERROR(SEARCH("Yes",G13)))</formula>
    </cfRule>
    <cfRule type="containsText" dxfId="42" priority="44" operator="containsText" text="No">
      <formula>NOT(ISERROR(SEARCH("No",G13)))</formula>
    </cfRule>
  </conditionalFormatting>
  <conditionalFormatting sqref="G17:G20">
    <cfRule type="containsText" dxfId="41" priority="41" operator="containsText" text="Yes">
      <formula>NOT(ISERROR(SEARCH("Yes",G17)))</formula>
    </cfRule>
    <cfRule type="containsText" dxfId="40" priority="42" operator="containsText" text="No">
      <formula>NOT(ISERROR(SEARCH("No",G17)))</formula>
    </cfRule>
  </conditionalFormatting>
  <conditionalFormatting sqref="G21:G24">
    <cfRule type="containsText" dxfId="39" priority="39" operator="containsText" text="Yes">
      <formula>NOT(ISERROR(SEARCH("Yes",G21)))</formula>
    </cfRule>
    <cfRule type="containsText" dxfId="38" priority="40" operator="containsText" text="No">
      <formula>NOT(ISERROR(SEARCH("No",G21)))</formula>
    </cfRule>
  </conditionalFormatting>
  <conditionalFormatting sqref="G25:G28">
    <cfRule type="containsText" dxfId="37" priority="37" operator="containsText" text="Yes">
      <formula>NOT(ISERROR(SEARCH("Yes",G25)))</formula>
    </cfRule>
    <cfRule type="containsText" dxfId="36" priority="38" operator="containsText" text="No">
      <formula>NOT(ISERROR(SEARCH("No",G25)))</formula>
    </cfRule>
  </conditionalFormatting>
  <conditionalFormatting sqref="G81:G84">
    <cfRule type="containsText" dxfId="35" priority="35" operator="containsText" text="Yes">
      <formula>NOT(ISERROR(SEARCH("Yes",G81)))</formula>
    </cfRule>
    <cfRule type="containsText" dxfId="34" priority="36" operator="containsText" text="No">
      <formula>NOT(ISERROR(SEARCH("No",G81)))</formula>
    </cfRule>
  </conditionalFormatting>
  <conditionalFormatting sqref="G29:G32">
    <cfRule type="containsText" dxfId="33" priority="33" operator="containsText" text="Yes">
      <formula>NOT(ISERROR(SEARCH("Yes",G29)))</formula>
    </cfRule>
    <cfRule type="containsText" dxfId="32" priority="34" operator="containsText" text="No">
      <formula>NOT(ISERROR(SEARCH("No",G29)))</formula>
    </cfRule>
  </conditionalFormatting>
  <conditionalFormatting sqref="G33:G36">
    <cfRule type="containsText" dxfId="31" priority="31" operator="containsText" text="Yes">
      <formula>NOT(ISERROR(SEARCH("Yes",G33)))</formula>
    </cfRule>
    <cfRule type="containsText" dxfId="30" priority="32" operator="containsText" text="No">
      <formula>NOT(ISERROR(SEARCH("No",G33)))</formula>
    </cfRule>
  </conditionalFormatting>
  <conditionalFormatting sqref="G37:G40">
    <cfRule type="containsText" dxfId="29" priority="29" operator="containsText" text="Yes">
      <formula>NOT(ISERROR(SEARCH("Yes",G37)))</formula>
    </cfRule>
    <cfRule type="containsText" dxfId="28" priority="30" operator="containsText" text="No">
      <formula>NOT(ISERROR(SEARCH("No",G37)))</formula>
    </cfRule>
  </conditionalFormatting>
  <conditionalFormatting sqref="G41:G44">
    <cfRule type="containsText" dxfId="27" priority="27" operator="containsText" text="Yes">
      <formula>NOT(ISERROR(SEARCH("Yes",G41)))</formula>
    </cfRule>
    <cfRule type="containsText" dxfId="26" priority="28" operator="containsText" text="No">
      <formula>NOT(ISERROR(SEARCH("No",G41)))</formula>
    </cfRule>
  </conditionalFormatting>
  <conditionalFormatting sqref="G61:G64">
    <cfRule type="containsText" dxfId="25" priority="25" operator="containsText" text="Yes">
      <formula>NOT(ISERROR(SEARCH("Yes",G61)))</formula>
    </cfRule>
    <cfRule type="containsText" dxfId="24" priority="26" operator="containsText" text="No">
      <formula>NOT(ISERROR(SEARCH("No",G61)))</formula>
    </cfRule>
  </conditionalFormatting>
  <conditionalFormatting sqref="G45:G48">
    <cfRule type="containsText" dxfId="23" priority="23" operator="containsText" text="Yes">
      <formula>NOT(ISERROR(SEARCH("Yes",G45)))</formula>
    </cfRule>
    <cfRule type="containsText" dxfId="22" priority="24" operator="containsText" text="No">
      <formula>NOT(ISERROR(SEARCH("No",G45)))</formula>
    </cfRule>
  </conditionalFormatting>
  <conditionalFormatting sqref="G49:G52">
    <cfRule type="containsText" dxfId="21" priority="21" operator="containsText" text="Yes">
      <formula>NOT(ISERROR(SEARCH("Yes",G49)))</formula>
    </cfRule>
    <cfRule type="containsText" dxfId="20" priority="22" operator="containsText" text="No">
      <formula>NOT(ISERROR(SEARCH("No",G49)))</formula>
    </cfRule>
  </conditionalFormatting>
  <conditionalFormatting sqref="G53:G56">
    <cfRule type="containsText" dxfId="19" priority="19" operator="containsText" text="Yes">
      <formula>NOT(ISERROR(SEARCH("Yes",G53)))</formula>
    </cfRule>
    <cfRule type="containsText" dxfId="18" priority="20" operator="containsText" text="No">
      <formula>NOT(ISERROR(SEARCH("No",G53)))</formula>
    </cfRule>
  </conditionalFormatting>
  <conditionalFormatting sqref="G57:G64">
    <cfRule type="containsText" dxfId="17" priority="17" operator="containsText" text="Yes">
      <formula>NOT(ISERROR(SEARCH("Yes",G57)))</formula>
    </cfRule>
    <cfRule type="containsText" dxfId="16" priority="18" operator="containsText" text="No">
      <formula>NOT(ISERROR(SEARCH("No",G57)))</formula>
    </cfRule>
  </conditionalFormatting>
  <conditionalFormatting sqref="G65:G68">
    <cfRule type="containsText" dxfId="15" priority="15" operator="containsText" text="Yes">
      <formula>NOT(ISERROR(SEARCH("Yes",G65)))</formula>
    </cfRule>
    <cfRule type="containsText" dxfId="14" priority="16" operator="containsText" text="No">
      <formula>NOT(ISERROR(SEARCH("No",G65)))</formula>
    </cfRule>
  </conditionalFormatting>
  <conditionalFormatting sqref="G69:G72">
    <cfRule type="containsText" dxfId="13" priority="13" operator="containsText" text="Yes">
      <formula>NOT(ISERROR(SEARCH("Yes",G69)))</formula>
    </cfRule>
    <cfRule type="containsText" dxfId="12" priority="14" operator="containsText" text="No">
      <formula>NOT(ISERROR(SEARCH("No",G69)))</formula>
    </cfRule>
  </conditionalFormatting>
  <conditionalFormatting sqref="G73:G76">
    <cfRule type="containsText" dxfId="11" priority="11" operator="containsText" text="Yes">
      <formula>NOT(ISERROR(SEARCH("Yes",G73)))</formula>
    </cfRule>
    <cfRule type="containsText" dxfId="10" priority="12" operator="containsText" text="No">
      <formula>NOT(ISERROR(SEARCH("No",G73)))</formula>
    </cfRule>
  </conditionalFormatting>
  <conditionalFormatting sqref="G77:G80">
    <cfRule type="containsText" dxfId="9" priority="9" operator="containsText" text="Yes">
      <formula>NOT(ISERROR(SEARCH("Yes",G77)))</formula>
    </cfRule>
    <cfRule type="containsText" dxfId="8" priority="10" operator="containsText" text="No">
      <formula>NOT(ISERROR(SEARCH("No",G77)))</formula>
    </cfRule>
  </conditionalFormatting>
  <conditionalFormatting sqref="G89:G92">
    <cfRule type="containsText" dxfId="7" priority="7" operator="containsText" text="Yes">
      <formula>NOT(ISERROR(SEARCH("Yes",G89)))</formula>
    </cfRule>
    <cfRule type="containsText" dxfId="6" priority="8" operator="containsText" text="No">
      <formula>NOT(ISERROR(SEARCH("No",G89)))</formula>
    </cfRule>
  </conditionalFormatting>
  <conditionalFormatting sqref="G85:G88">
    <cfRule type="containsText" dxfId="5" priority="5" operator="containsText" text="Yes">
      <formula>NOT(ISERROR(SEARCH("Yes",G85)))</formula>
    </cfRule>
    <cfRule type="containsText" dxfId="4" priority="6" operator="containsText" text="No">
      <formula>NOT(ISERROR(SEARCH("No",G85)))</formula>
    </cfRule>
  </conditionalFormatting>
  <conditionalFormatting sqref="G93:G96">
    <cfRule type="containsText" dxfId="3" priority="3" operator="containsText" text="Yes">
      <formula>NOT(ISERROR(SEARCH("Yes",G93)))</formula>
    </cfRule>
    <cfRule type="containsText" dxfId="2" priority="4" operator="containsText" text="No">
      <formula>NOT(ISERROR(SEARCH("No",G93)))</formula>
    </cfRule>
  </conditionalFormatting>
  <conditionalFormatting sqref="G97:G100">
    <cfRule type="containsText" dxfId="1" priority="1" operator="containsText" text="Yes">
      <formula>NOT(ISERROR(SEARCH("Yes",G97)))</formula>
    </cfRule>
    <cfRule type="containsText" dxfId="0" priority="2" operator="containsText" text="No">
      <formula>NOT(ISERROR(SEARCH("No",G97)))</formula>
    </cfRule>
  </conditionalFormatting>
  <pageMargins left="0.7" right="0.7" top="0.75" bottom="0.75" header="0.3" footer="0.3"/>
  <drawing r:id="rId1"/>
  <legacyDrawing r:id="rId2"/>
  <controls>
    <mc:AlternateContent xmlns:mc="http://schemas.openxmlformats.org/markup-compatibility/2006">
      <mc:Choice Requires="x14">
        <control shapeId="23553" r:id="rId3" name="backMenuBtn">
          <controlPr defaultSize="0" autoLine="0" r:id="rId4">
            <anchor moveWithCells="1">
              <from>
                <xdr:col>0</xdr:col>
                <xdr:colOff>0</xdr:colOff>
                <xdr:row>0</xdr:row>
                <xdr:rowOff>0</xdr:rowOff>
              </from>
              <to>
                <xdr:col>0</xdr:col>
                <xdr:colOff>1200150</xdr:colOff>
                <xdr:row>1</xdr:row>
                <xdr:rowOff>95250</xdr:rowOff>
              </to>
            </anchor>
          </controlPr>
        </control>
      </mc:Choice>
      <mc:Fallback>
        <control shapeId="23553" r:id="rId3" name="backMenuBtn"/>
      </mc:Fallback>
    </mc:AlternateContent>
    <mc:AlternateContent xmlns:mc="http://schemas.openxmlformats.org/markup-compatibility/2006">
      <mc:Choice Requires="x14">
        <control shapeId="23554" r:id="rId5" name="CommandButton1">
          <controlPr defaultSize="0" autoLine="0" r:id="rId6">
            <anchor moveWithCells="1">
              <from>
                <xdr:col>1</xdr:col>
                <xdr:colOff>1285875</xdr:colOff>
                <xdr:row>0</xdr:row>
                <xdr:rowOff>0</xdr:rowOff>
              </from>
              <to>
                <xdr:col>2</xdr:col>
                <xdr:colOff>1104900</xdr:colOff>
                <xdr:row>1</xdr:row>
                <xdr:rowOff>85725</xdr:rowOff>
              </to>
            </anchor>
          </controlPr>
        </control>
      </mc:Choice>
      <mc:Fallback>
        <control shapeId="23554" r:id="rId5" name="CommandButton1"/>
      </mc:Fallback>
    </mc:AlternateContent>
    <mc:AlternateContent xmlns:mc="http://schemas.openxmlformats.org/markup-compatibility/2006">
      <mc:Choice Requires="x14">
        <control shapeId="23555" r:id="rId7" name="CommandButton2">
          <controlPr defaultSize="0" autoLine="0" r:id="rId8">
            <anchor moveWithCells="1">
              <from>
                <xdr:col>0</xdr:col>
                <xdr:colOff>1333500</xdr:colOff>
                <xdr:row>0</xdr:row>
                <xdr:rowOff>9525</xdr:rowOff>
              </from>
              <to>
                <xdr:col>1</xdr:col>
                <xdr:colOff>1152525</xdr:colOff>
                <xdr:row>1</xdr:row>
                <xdr:rowOff>95250</xdr:rowOff>
              </to>
            </anchor>
          </controlPr>
        </control>
      </mc:Choice>
      <mc:Fallback>
        <control shapeId="23555" r:id="rId7" name="CommandButton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Dropdown!$I$2:$I$3</xm:f>
          </x14:formula1>
          <xm:sqref>G5:G100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Menu</vt:lpstr>
      <vt:lpstr>Narrative</vt:lpstr>
      <vt:lpstr>RCM</vt:lpstr>
      <vt:lpstr>FCP (FC)</vt:lpstr>
      <vt:lpstr>WT (WT)</vt:lpstr>
      <vt:lpstr>FCR 1.02 (WP)</vt:lpstr>
      <vt:lpstr>FCR 2.05 (WP)</vt:lpstr>
      <vt:lpstr>FCR 2.09 (WP)</vt:lpstr>
      <vt:lpstr>FCR 3.04 (WP)</vt:lpstr>
      <vt:lpstr>FCR 3.09 (WP)</vt:lpstr>
      <vt:lpstr>FCR 3.12 (WP)</vt:lpstr>
      <vt:lpstr>FCR 4.02 (WP)</vt:lpstr>
      <vt:lpstr>FCR 4.04 (WP)</vt:lpstr>
      <vt:lpstr>FCR 5.05 (WP)</vt:lpstr>
      <vt:lpstr>FCR 5.10 (WP)</vt:lpstr>
      <vt:lpstr>FCR 5.11 (WP)</vt:lpstr>
      <vt:lpstr>FCR 6.04 (WP)</vt:lpstr>
      <vt:lpstr>FCR 6.07 (WP)</vt:lpstr>
      <vt:lpstr>FCR 6.09 (WP)</vt:lpstr>
      <vt:lpstr>FCR 6.11 (WP)</vt:lpstr>
      <vt:lpstr>IUC (WP)(WT)</vt:lpstr>
      <vt:lpstr>'FCP (FC)'!Print_Area</vt:lpstr>
      <vt:lpstr>'FCR 1.02 (WP)'!Print_Area</vt:lpstr>
      <vt:lpstr>'FCR 2.05 (WP)'!Print_Area</vt:lpstr>
      <vt:lpstr>'FCR 2.09 (WP)'!Print_Area</vt:lpstr>
      <vt:lpstr>'FCR 3.04 (WP)'!Print_Area</vt:lpstr>
      <vt:lpstr>'FCR 3.09 (WP)'!Print_Area</vt:lpstr>
      <vt:lpstr>'FCR 3.12 (WP)'!Print_Area</vt:lpstr>
      <vt:lpstr>'FCR 4.02 (WP)'!Print_Area</vt:lpstr>
      <vt:lpstr>'FCR 4.04 (WP)'!Print_Area</vt:lpstr>
      <vt:lpstr>'FCR 5.05 (WP)'!Print_Area</vt:lpstr>
      <vt:lpstr>'FCR 5.10 (WP)'!Print_Area</vt:lpstr>
      <vt:lpstr>'FCR 5.11 (WP)'!Print_Area</vt:lpstr>
      <vt:lpstr>'FCR 6.04 (WP)'!Print_Area</vt:lpstr>
      <vt:lpstr>'FCR 6.07 (WP)'!Print_Area</vt:lpstr>
      <vt:lpstr>'FCR 6.09 (WP)'!Print_Area</vt:lpstr>
      <vt:lpstr>'FCR 6.11 (WP)'!Print_Area</vt:lpstr>
      <vt:lpstr>Narrative!Print_Area</vt:lpstr>
      <vt:lpstr>RCM!Print_Area</vt:lpstr>
      <vt:lpstr>Narrative!Print_Titles</vt:lpstr>
      <vt:lpstr>RCM!Print_Titles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dc:creator>
  <cp:lastModifiedBy>levinjay</cp:lastModifiedBy>
  <dcterms:created xsi:type="dcterms:W3CDTF">2019-09-09T18:56:08Z</dcterms:created>
  <dcterms:modified xsi:type="dcterms:W3CDTF">2020-07-08T01:08:48Z</dcterms:modified>
</cp:coreProperties>
</file>